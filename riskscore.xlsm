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jay.k.chandwani\AppData\Local\Microsoft\Windows\INetCache\Content.Outlook\NDWAQUS0\"/>
    </mc:Choice>
  </mc:AlternateContent>
  <xr:revisionPtr revIDLastSave="0" documentId="8_{643E647D-9023-48AD-8CA6-394AEE8B4328}" xr6:coauthVersionLast="45" xr6:coauthVersionMax="45" xr10:uidLastSave="{00000000-0000-0000-0000-000000000000}"/>
  <bookViews>
    <workbookView xWindow="-110" yWindow="-110" windowWidth="19420" windowHeight="10420" xr2:uid="{04D57CE0-5FEA-4868-B144-BA1101D97B8E}"/>
  </bookViews>
  <sheets>
    <sheet name="Final Questionare" sheetId="4" r:id="rId1"/>
  </sheets>
  <functionGroups builtInGroupCount="19"/>
  <definedNames>
    <definedName name="_xlnm._FilterDatabase" localSheetId="0" hidden="1">'Final Questionare'!$A$2:$AF$53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55" i="4" l="1"/>
  <c r="C56" i="4" s="1"/>
  <c r="C57" i="4" s="1"/>
  <c r="C58" i="4" s="1"/>
  <c r="C59" i="4" s="1"/>
  <c r="C60" i="4" s="1"/>
  <c r="C61" i="4" s="1"/>
  <c r="C62" i="4" s="1"/>
  <c r="C63" i="4" s="1"/>
  <c r="C64" i="4" s="1"/>
  <c r="C65" i="4" s="1"/>
  <c r="C66" i="4" s="1"/>
  <c r="C67" i="4" s="1"/>
  <c r="C68" i="4" s="1"/>
  <c r="C69" i="4" s="1"/>
  <c r="C70" i="4" s="1"/>
  <c r="C71" i="4" s="1"/>
  <c r="C72" i="4" s="1"/>
  <c r="C73" i="4" s="1"/>
  <c r="C74" i="4" s="1"/>
  <c r="C75" i="4" s="1"/>
  <c r="C76" i="4" s="1"/>
  <c r="C77" i="4" s="1"/>
  <c r="C78" i="4" s="1"/>
  <c r="C79" i="4" s="1"/>
  <c r="C80" i="4" s="1"/>
  <c r="C81" i="4" s="1"/>
  <c r="C82" i="4" s="1"/>
  <c r="C83" i="4" s="1"/>
  <c r="C84" i="4" s="1"/>
  <c r="C85" i="4" s="1"/>
  <c r="C86" i="4" s="1"/>
  <c r="C87" i="4" s="1"/>
  <c r="C88" i="4" s="1"/>
  <c r="C89" i="4" s="1"/>
  <c r="C90" i="4" s="1"/>
  <c r="C91" i="4" s="1"/>
  <c r="C92" i="4" s="1"/>
  <c r="C93" i="4" s="1"/>
  <c r="C94" i="4" s="1"/>
  <c r="C17" i="4" l="1"/>
  <c r="C18" i="4" s="1"/>
</calcChain>
</file>

<file path=xl/sharedStrings.xml><?xml version="1.0" encoding="utf-8"?>
<sst xmlns="http://schemas.openxmlformats.org/spreadsheetml/2006/main" count="339" uniqueCount="165">
  <si>
    <t>No</t>
  </si>
  <si>
    <t>Risk Score</t>
  </si>
  <si>
    <t>Personal Details</t>
  </si>
  <si>
    <t>Work Culture</t>
  </si>
  <si>
    <t>Work life balance</t>
  </si>
  <si>
    <t>Age</t>
  </si>
  <si>
    <t>Total IT industry experience</t>
  </si>
  <si>
    <t>Accenture tenure</t>
  </si>
  <si>
    <t>Primary skill set</t>
  </si>
  <si>
    <t>Name</t>
  </si>
  <si>
    <t>Enterprise ID</t>
  </si>
  <si>
    <t>Private</t>
  </si>
  <si>
    <t>Functional Testing</t>
  </si>
  <si>
    <t>Management</t>
  </si>
  <si>
    <t>SL No.</t>
  </si>
  <si>
    <t>Ref Values</t>
  </si>
  <si>
    <t>0 - 20</t>
  </si>
  <si>
    <t>0 - 5</t>
  </si>
  <si>
    <t>0=No 1=Yes 2=Somewhat</t>
  </si>
  <si>
    <t>0=No 1=Yes</t>
  </si>
  <si>
    <t>Numeric</t>
  </si>
  <si>
    <t>Ramaya Joshi</t>
  </si>
  <si>
    <t>Company</t>
  </si>
  <si>
    <r>
      <t xml:space="preserve">Distance b/w office &amp; home (in kms)
</t>
    </r>
    <r>
      <rPr>
        <sz val="10"/>
        <color rgb="FFFF0000"/>
        <rFont val="Calibri"/>
        <family val="2"/>
      </rPr>
      <t>(Red if Dist &gt; 10)</t>
    </r>
  </si>
  <si>
    <r>
      <t xml:space="preserve">Travel mode to office </t>
    </r>
    <r>
      <rPr>
        <sz val="10"/>
        <color rgb="FFFF0000"/>
        <rFont val="Calibri"/>
        <family val="2"/>
      </rPr>
      <t>(Red if Company or Public &amp; Work Hr &gt; 9)</t>
    </r>
  </si>
  <si>
    <r>
      <t xml:space="preserve">Is your work aligned to primary skill? 
</t>
    </r>
    <r>
      <rPr>
        <sz val="10"/>
        <color rgb="FFFF0000"/>
        <rFont val="Calibri"/>
        <family val="2"/>
      </rPr>
      <t>(Red = 0)</t>
    </r>
  </si>
  <si>
    <r>
      <t xml:space="preserve">Weekly hours spend on R&amp;D , Innovation &amp; transformation?
</t>
    </r>
    <r>
      <rPr>
        <sz val="10"/>
        <color rgb="FFFF0000"/>
        <rFont val="Calibri"/>
        <family val="2"/>
      </rPr>
      <t>(Red &lt;=5)</t>
    </r>
  </si>
  <si>
    <r>
      <t>Do you feel connected to your co-</t>
    </r>
    <r>
      <rPr>
        <sz val="10"/>
        <color rgb="FF43464B"/>
        <rFont val="Calibri"/>
        <family val="2"/>
      </rPr>
      <t>workers?</t>
    </r>
    <r>
      <rPr>
        <sz val="10"/>
        <color rgb="FF000000"/>
        <rFont val="Calibri"/>
        <family val="2"/>
      </rPr>
      <t xml:space="preserve">
</t>
    </r>
    <r>
      <rPr>
        <sz val="10"/>
        <color rgb="FFFF0000"/>
        <rFont val="Calibri"/>
        <family val="2"/>
      </rPr>
      <t>(Red &lt;=2)</t>
    </r>
  </si>
  <si>
    <r>
      <t xml:space="preserve">Does our company give you the tools and technologies you need to do your job well? 
</t>
    </r>
    <r>
      <rPr>
        <sz val="10"/>
        <color rgb="FFFF0000"/>
        <rFont val="Calibri"/>
        <family val="2"/>
      </rPr>
      <t>(Red &lt;=2)</t>
    </r>
    <r>
      <rPr>
        <sz val="10"/>
        <color rgb="FF000000"/>
        <rFont val="Calibri"/>
        <family val="2"/>
      </rPr>
      <t xml:space="preserve">
</t>
    </r>
  </si>
  <si>
    <r>
      <t xml:space="preserve">Are you comortable expressing your opinion or suggestions?
</t>
    </r>
    <r>
      <rPr>
        <sz val="10"/>
        <color rgb="FFFF0000"/>
        <rFont val="Calibri"/>
        <family val="2"/>
      </rPr>
      <t>(Red &lt;=2)</t>
    </r>
  </si>
  <si>
    <r>
      <t xml:space="preserve">Do you think that work is distributed evenly amongst your peers?
</t>
    </r>
    <r>
      <rPr>
        <sz val="10"/>
        <color rgb="FFFF0000"/>
        <rFont val="Calibri"/>
        <family val="2"/>
      </rPr>
      <t>(Red = 0)</t>
    </r>
  </si>
  <si>
    <r>
      <t xml:space="preserve">On a scale of 1 (lowest) to 5 (highest), how challenged are you on a daily basis at work?
</t>
    </r>
    <r>
      <rPr>
        <sz val="10"/>
        <color rgb="FFFF0000"/>
        <rFont val="Calibri"/>
        <family val="2"/>
      </rPr>
      <t>(Red &lt;=2)</t>
    </r>
  </si>
  <si>
    <r>
      <t xml:space="preserve">Does your direct manager provide the support you need to complete your work?
</t>
    </r>
    <r>
      <rPr>
        <sz val="10"/>
        <color rgb="FFFF0000"/>
        <rFont val="Calibri"/>
        <family val="2"/>
      </rPr>
      <t>(Red &lt;=2)</t>
    </r>
    <r>
      <rPr>
        <sz val="10"/>
        <color rgb="FF000000"/>
        <rFont val="Calibri"/>
        <family val="2"/>
      </rPr>
      <t xml:space="preserve"> </t>
    </r>
  </si>
  <si>
    <r>
      <t xml:space="preserve">Overseas experience in Accenture 
</t>
    </r>
    <r>
      <rPr>
        <sz val="10"/>
        <color rgb="FFFF0000"/>
        <rFont val="Calibri"/>
        <family val="2"/>
      </rPr>
      <t>(Red = 0 if Acc Tenure &gt;= 3 and Curent pro Exp &gt;= 3)</t>
    </r>
  </si>
  <si>
    <r>
      <t xml:space="preserve">Are you satisfied with personal career development &amp; promotion opportunities provided by the company?
</t>
    </r>
    <r>
      <rPr>
        <sz val="10"/>
        <color rgb="FFFF0000"/>
        <rFont val="Calibri"/>
        <family val="2"/>
      </rPr>
      <t>(Red &lt;=2)</t>
    </r>
  </si>
  <si>
    <r>
      <t xml:space="preserve">Are your job responsibilities clearly defined?
</t>
    </r>
    <r>
      <rPr>
        <sz val="10"/>
        <color rgb="FFFF0000"/>
        <rFont val="Calibri"/>
        <family val="2"/>
      </rPr>
      <t>(Red = 0)</t>
    </r>
  </si>
  <si>
    <r>
      <t xml:space="preserve">Does your job cause an unreasonable amount of stress for you?
</t>
    </r>
    <r>
      <rPr>
        <sz val="10"/>
        <color rgb="FFFF0000"/>
        <rFont val="Calibri"/>
        <family val="2"/>
      </rPr>
      <t>(Red = 1)</t>
    </r>
  </si>
  <si>
    <t>Daily avg working hrs (Red &gt; 9)</t>
  </si>
  <si>
    <t>Career level
(Red if MAL &gt;= 36)</t>
  </si>
  <si>
    <t>Current project tenure
(Red if Current Proj Exp &gt;= 3 and MAL &gt;= 36)</t>
  </si>
  <si>
    <t>MAL
(Red if MAL &gt;= 36)</t>
  </si>
  <si>
    <r>
      <t xml:space="preserve">Paid Overtime </t>
    </r>
    <r>
      <rPr>
        <sz val="10"/>
        <color rgb="FFFF0000"/>
        <rFont val="Calibri"/>
        <family val="2"/>
      </rPr>
      <t>(Red if 0 and Avg Hr &gt; 9)</t>
    </r>
  </si>
  <si>
    <t>In Years</t>
  </si>
  <si>
    <t>In Months</t>
  </si>
  <si>
    <t>In Kms</t>
  </si>
  <si>
    <t>Private/Company/Public</t>
  </si>
  <si>
    <t>Bhagya Kumari</t>
  </si>
  <si>
    <t>SAP</t>
  </si>
  <si>
    <t>Chintu Pal</t>
  </si>
  <si>
    <t>Public</t>
  </si>
  <si>
    <t>Sayani Ghosh</t>
  </si>
  <si>
    <t>Automation Testing</t>
  </si>
  <si>
    <t>Ganesh Shyam</t>
  </si>
  <si>
    <t>No. of organisations you have worked so far
(Red if &gt;=3)</t>
  </si>
  <si>
    <t>Cloud Architect</t>
  </si>
  <si>
    <t>Adarsh Khandelwal</t>
  </si>
  <si>
    <t>Salesforce</t>
  </si>
  <si>
    <r>
      <t xml:space="preserve">On a scale of 0 (lowest) to 5 (highest), how would you
feel your direct supervisor is competent to his/her role?
</t>
    </r>
    <r>
      <rPr>
        <sz val="10"/>
        <color rgb="FFFF0000"/>
        <rFont val="Calibri"/>
        <family val="2"/>
      </rPr>
      <t>(Red &lt;=2)</t>
    </r>
  </si>
  <si>
    <r>
      <t xml:space="preserve">On a scale of 0 to 5 (happiest), how happy are you at work?
</t>
    </r>
    <r>
      <rPr>
        <sz val="10"/>
        <color rgb="FFFF0000"/>
        <rFont val="Calibri"/>
        <family val="2"/>
      </rPr>
      <t>(Red &lt;=2)</t>
    </r>
  </si>
  <si>
    <r>
      <t xml:space="preserve">On a scale of 0 to 5 (happiest), how do you rate your work life balance?
</t>
    </r>
    <r>
      <rPr>
        <sz val="10"/>
        <color rgb="FFFF0000"/>
        <rFont val="Calibri"/>
        <family val="2"/>
      </rPr>
      <t>(Red &lt;=2)</t>
    </r>
  </si>
  <si>
    <t>Khusboo Rani</t>
  </si>
  <si>
    <t>Data Developer</t>
  </si>
  <si>
    <t>Development</t>
  </si>
  <si>
    <r>
      <t xml:space="preserve">No. of recognition you received in the last 12 months?
</t>
    </r>
    <r>
      <rPr>
        <sz val="10"/>
        <color rgb="FFFF0000"/>
        <rFont val="Calibri"/>
        <family val="2"/>
      </rPr>
      <t>(Red = 0)</t>
    </r>
  </si>
  <si>
    <t>Namus Khumar</t>
  </si>
  <si>
    <t>Tyagi Ranjan</t>
  </si>
  <si>
    <t>Siddharth Kumar</t>
  </si>
  <si>
    <t>Support</t>
  </si>
  <si>
    <t>Amarta Sen</t>
  </si>
  <si>
    <t>if red = 16-24 then Risk = 5 (highest)
if red = 11-15 then Risk = 4
if red = 7-10 then Risk = 3
if red = 3-6 then Risk = 2
if red = 0-2 then Risk = 1 (lowest)</t>
  </si>
  <si>
    <t>Doyita Sen</t>
  </si>
  <si>
    <t>Venkata Ayyaswamy</t>
  </si>
  <si>
    <t>Chinaya Ghosh</t>
  </si>
  <si>
    <t>Business Analyst</t>
  </si>
  <si>
    <t>Jhuma Soni</t>
  </si>
  <si>
    <t>Sonia Murmu</t>
  </si>
  <si>
    <t>Solution Architect</t>
  </si>
  <si>
    <t>Jhuma Singh</t>
  </si>
  <si>
    <t>Bobia Kundu</t>
  </si>
  <si>
    <t>Rabina Masoon</t>
  </si>
  <si>
    <t>Anamika Reddy</t>
  </si>
  <si>
    <t>Tapas Naorem</t>
  </si>
  <si>
    <t>Devops</t>
  </si>
  <si>
    <t>Praveen Khaitan</t>
  </si>
  <si>
    <t>Madhurima Patil</t>
  </si>
  <si>
    <t>Sunny Chandwani</t>
  </si>
  <si>
    <t>Lara Dutta</t>
  </si>
  <si>
    <t>Bablu Das</t>
  </si>
  <si>
    <t>John Macy</t>
  </si>
  <si>
    <t>Fuli Swamapa</t>
  </si>
  <si>
    <t>Raj Chopra</t>
  </si>
  <si>
    <t>Sritanu Goswami</t>
  </si>
  <si>
    <t>Ajit Drolia</t>
  </si>
  <si>
    <t>Shruti Shekar</t>
  </si>
  <si>
    <t>Rittick Joseph</t>
  </si>
  <si>
    <t>Uday Narayan</t>
  </si>
  <si>
    <t>Debirupa Das</t>
  </si>
  <si>
    <t>Gajendra Singh</t>
  </si>
  <si>
    <t>Chapa Pal</t>
  </si>
  <si>
    <t>Souro Choudhury</t>
  </si>
  <si>
    <t>Ramakant Mishra</t>
  </si>
  <si>
    <t>Manish Joshi</t>
  </si>
  <si>
    <t>Dimple Rani</t>
  </si>
  <si>
    <t>Pega Systems</t>
  </si>
  <si>
    <t>Mayur Dutta</t>
  </si>
  <si>
    <t>Akash Naorem</t>
  </si>
  <si>
    <t>Sonalika Thatoi</t>
  </si>
  <si>
    <t>Amir Kumar</t>
  </si>
  <si>
    <t>Manoj Reddy</t>
  </si>
  <si>
    <t>Shreya Das</t>
  </si>
  <si>
    <t>Java</t>
  </si>
  <si>
    <t>Jagvir Manchigani</t>
  </si>
  <si>
    <t>Sachin Anand</t>
  </si>
  <si>
    <t>Data Testing</t>
  </si>
  <si>
    <t>Splunk</t>
  </si>
  <si>
    <t>Performance Testing</t>
  </si>
  <si>
    <t>Penetration Testing</t>
  </si>
  <si>
    <t>DBA</t>
  </si>
  <si>
    <t>Dev ops</t>
  </si>
  <si>
    <t>Anil Jain</t>
  </si>
  <si>
    <t>Vikas Jain</t>
  </si>
  <si>
    <t>Sumit Pant</t>
  </si>
  <si>
    <t>Ajith Patil</t>
  </si>
  <si>
    <t>Sunny Singh</t>
  </si>
  <si>
    <t>Abhinav Ghosh</t>
  </si>
  <si>
    <t>Sanchit Sharma</t>
  </si>
  <si>
    <t>Rohan Singh</t>
  </si>
  <si>
    <t>Suvamjit Jain</t>
  </si>
  <si>
    <t>Narendra Bhati</t>
  </si>
  <si>
    <t>Shreya Singh</t>
  </si>
  <si>
    <t>Siddharth Patil</t>
  </si>
  <si>
    <t>Nitin Sharma</t>
  </si>
  <si>
    <t>Mayur Jain</t>
  </si>
  <si>
    <t>Anubhav rathi</t>
  </si>
  <si>
    <t>Mayank Jain</t>
  </si>
  <si>
    <t>Purvi Sharma</t>
  </si>
  <si>
    <t>Vishakha Sharma</t>
  </si>
  <si>
    <t>Rupal Nagdev</t>
  </si>
  <si>
    <t>Gunjan Rathi</t>
  </si>
  <si>
    <t>Toshavi Jain</t>
  </si>
  <si>
    <t>Sonam Sharma</t>
  </si>
  <si>
    <t>Rahul Jain</t>
  </si>
  <si>
    <t>Delivery Lead</t>
  </si>
  <si>
    <t xml:space="preserve">Dev Ops </t>
  </si>
  <si>
    <t>Technical Evangelist</t>
  </si>
  <si>
    <t>Vivek Sharma</t>
  </si>
  <si>
    <t>Raghu Sharma</t>
  </si>
  <si>
    <t>Madhuri Sharma</t>
  </si>
  <si>
    <t>Sonalika Gupta</t>
  </si>
  <si>
    <t>Amit Gupta</t>
  </si>
  <si>
    <t>Vipin Gupta</t>
  </si>
  <si>
    <t>Rahul Gupta</t>
  </si>
  <si>
    <t>Saksham Sharma</t>
  </si>
  <si>
    <t>Priyansh Mehta</t>
  </si>
  <si>
    <t>Harsha Mehta</t>
  </si>
  <si>
    <t>Saurav singh</t>
  </si>
  <si>
    <t>Gayatri Rai</t>
  </si>
  <si>
    <t>Priyanka Soni</t>
  </si>
  <si>
    <t>Uttam Singh</t>
  </si>
  <si>
    <t>Milka Jain</t>
  </si>
  <si>
    <t>Sayandeep Ghosh</t>
  </si>
  <si>
    <t>Manohar Singh</t>
  </si>
  <si>
    <t>Adarsh Sharma</t>
  </si>
  <si>
    <t>Scrum Master</t>
  </si>
  <si>
    <t>Security Testing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</si>
</sst>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0"/>
      <name val="Calibri"/>
      <family val="2"/>
    </font>
    <font>
      <b/>
      <sz val="10"/>
      <name val="Calibri"/>
      <family val="2"/>
    </font>
    <font>
      <sz val="10"/>
      <color rgb="FFFF0000"/>
      <name val="Calibri"/>
      <family val="2"/>
    </font>
    <font>
      <sz val="10"/>
      <color theme="1"/>
      <name val="Calibri"/>
      <family val="2"/>
    </font>
    <font>
      <sz val="10"/>
      <color rgb="FF000000"/>
      <name val="Calibri"/>
      <family val="2"/>
    </font>
    <font>
      <sz val="10"/>
      <color rgb="FF43464B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1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left" vertical="top" wrapText="1"/>
    </xf>
    <xf numFmtId="0" fontId="3" fillId="0" borderId="1" xfId="0" applyFont="1" applyBorder="1" applyAlignment="1">
      <alignment horizontal="left" vertical="top" wrapText="1"/>
    </xf>
    <xf numFmtId="0" fontId="0" fillId="0" borderId="0" xfId="0" applyFont="1" applyAlignment="1">
      <alignment horizontal="left" vertical="top" wrapText="1"/>
    </xf>
    <xf numFmtId="0" fontId="0" fillId="0" borderId="0" xfId="0" applyFont="1" applyBorder="1" applyAlignment="1">
      <alignment horizontal="left" vertical="top" wrapText="1"/>
    </xf>
    <xf numFmtId="0" fontId="4" fillId="4" borderId="1" xfId="0" applyFont="1" applyFill="1" applyBorder="1" applyAlignment="1">
      <alignment horizontal="left" vertical="top" wrapText="1"/>
    </xf>
    <xf numFmtId="0" fontId="0" fillId="0" borderId="1" xfId="0" applyFont="1" applyBorder="1" applyAlignment="1">
      <alignment horizontal="left" vertical="top" wrapText="1"/>
    </xf>
    <xf numFmtId="0" fontId="3" fillId="4" borderId="1" xfId="0" applyFont="1" applyFill="1" applyBorder="1" applyAlignment="1">
      <alignment horizontal="left" vertical="top" wrapText="1"/>
    </xf>
    <xf numFmtId="0" fontId="4" fillId="2" borderId="1" xfId="0" applyFont="1" applyFill="1" applyBorder="1" applyAlignment="1">
      <alignment horizontal="left" vertical="top" wrapText="1"/>
    </xf>
    <xf numFmtId="0" fontId="4" fillId="0" borderId="1" xfId="0" applyFont="1" applyBorder="1" applyAlignment="1">
      <alignment horizontal="left" vertical="top" wrapText="1"/>
    </xf>
    <xf numFmtId="0" fontId="3" fillId="3" borderId="1" xfId="0" applyFont="1" applyFill="1" applyBorder="1" applyAlignment="1">
      <alignment horizontal="left" vertical="top" wrapText="1"/>
    </xf>
    <xf numFmtId="0" fontId="3" fillId="3" borderId="0" xfId="0" applyFont="1" applyFill="1" applyAlignment="1">
      <alignment horizontal="left" vertical="top" wrapText="1"/>
    </xf>
    <xf numFmtId="0" fontId="3" fillId="0" borderId="0" xfId="0" applyFont="1" applyAlignment="1">
      <alignment horizontal="left" vertical="top" wrapText="1"/>
    </xf>
    <xf numFmtId="0" fontId="0" fillId="0" borderId="3" xfId="0" applyFont="1" applyBorder="1" applyAlignment="1">
      <alignment horizontal="left" vertical="top" wrapText="1"/>
    </xf>
    <xf numFmtId="0" fontId="3" fillId="0" borderId="3" xfId="0" applyFont="1" applyBorder="1" applyAlignment="1">
      <alignment horizontal="left" vertical="top" wrapText="1"/>
    </xf>
    <xf numFmtId="0" fontId="2" fillId="0" borderId="0" xfId="0" applyFont="1" applyFill="1" applyAlignment="1">
      <alignment horizontal="left" vertical="top" wrapText="1"/>
    </xf>
    <xf numFmtId="0" fontId="2" fillId="0" borderId="3" xfId="0" applyFont="1" applyBorder="1" applyAlignment="1">
      <alignment horizontal="left" vertical="top" wrapText="1"/>
    </xf>
    <xf numFmtId="0" fontId="2" fillId="0" borderId="0" xfId="0" applyFont="1" applyBorder="1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0" fillId="0" borderId="4" xfId="0" applyFont="1" applyBorder="1" applyAlignment="1">
      <alignment horizontal="left" vertical="top" wrapText="1"/>
    </xf>
    <xf numFmtId="0" fontId="0" fillId="0" borderId="2" xfId="0" applyFont="1" applyBorder="1" applyAlignment="1">
      <alignment horizontal="left" vertical="top" wrapText="1"/>
    </xf>
    <xf numFmtId="0" fontId="3" fillId="0" borderId="2" xfId="0" applyFont="1" applyBorder="1" applyAlignment="1">
      <alignment horizontal="left" vertical="top" wrapText="1"/>
    </xf>
    <xf numFmtId="0" fontId="0" fillId="0" borderId="1" xfId="0" applyBorder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 vertical="top" wrapText="1"/>
    </xf>
    <xf numFmtId="0" fontId="2" fillId="0" borderId="0" xfId="0" applyFont="1" applyAlignment="1">
      <alignment horizontal="left" vertical="top" wrapText="1"/>
    </xf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</cellXfs>
  <cellStyles count="1">
    <cellStyle name="Normal" xfId="0" builtinId="0"/>
  </cellStyles>
  <dxfs count="86">
    <dxf>
      <font>
        <color rgb="FFFF0000"/>
      </font>
    </dxf>
    <dxf>
      <font>
        <color rgb="FFFF0000"/>
      </font>
      <fill>
        <patternFill>
          <bgColor theme="0"/>
        </patternFill>
      </fill>
    </dxf>
    <dxf>
      <font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color rgb="FFFF0000"/>
      </font>
    </dxf>
    <dxf>
      <font>
        <b val="0"/>
        <i val="0"/>
        <color rgb="FFFF0000"/>
      </font>
    </dxf>
    <dxf>
      <font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  <fill>
        <patternFill patternType="none">
          <bgColor auto="1"/>
        </patternFill>
      </fill>
    </dxf>
    <dxf>
      <font>
        <b val="0"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3FB1EE-203B-4BAA-91C1-FE1FFB81F76D}">
  <sheetPr codeName="Sheet1"/>
  <dimension ref="A1:AG101"/>
  <sheetViews>
    <sheetView tabSelected="1" topLeftCell="S1" zoomScale="82" zoomScaleNormal="82" workbookViewId="0">
      <pane ySplit="4" topLeftCell="A91" activePane="bottomLeft" state="frozen"/>
      <selection pane="bottomLeft" activeCell="AF91" sqref="AF91"/>
    </sheetView>
  </sheetViews>
  <sheetFormatPr defaultColWidth="10.69921875" defaultRowHeight="40" customHeight="1" x14ac:dyDescent="0.3"/>
  <cols>
    <col min="1" max="1" width="7.5" style="4" customWidth="1"/>
    <col min="2" max="2" width="10.8984375" style="4" customWidth="1"/>
    <col min="3" max="3" width="10" style="4" customWidth="1"/>
    <col min="4" max="4" width="9.796875" style="4" customWidth="1"/>
    <col min="5" max="5" width="11.3984375" style="4" customWidth="1"/>
    <col min="6" max="6" width="10.09765625" style="4" customWidth="1"/>
    <col min="7" max="7" width="12" style="4" customWidth="1"/>
    <col min="8" max="8" width="10.5" style="4" customWidth="1"/>
    <col min="9" max="9" width="13.5" style="4" customWidth="1"/>
    <col min="10" max="10" width="10.69921875" style="4"/>
    <col min="11" max="11" width="12.296875" style="4" customWidth="1"/>
    <col min="12" max="12" width="10.69921875" style="4"/>
    <col min="13" max="13" width="11.796875" style="4" customWidth="1"/>
    <col min="14" max="14" width="11.69921875" style="13" customWidth="1"/>
    <col min="15" max="15" width="14" style="4" customWidth="1"/>
    <col min="16" max="16" width="13.296875" style="4" customWidth="1"/>
    <col min="17" max="17" width="10.69921875" style="4"/>
    <col min="18" max="18" width="13.796875" style="4" customWidth="1"/>
    <col min="19" max="19" width="12.8984375" style="4" customWidth="1"/>
    <col min="20" max="20" width="13" style="4" customWidth="1"/>
    <col min="21" max="21" width="10.69921875" style="4"/>
    <col min="22" max="22" width="14" style="4" customWidth="1"/>
    <col min="23" max="23" width="14.8984375" style="4" customWidth="1"/>
    <col min="24" max="24" width="12" style="4" customWidth="1"/>
    <col min="25" max="25" width="13.19921875" style="4" customWidth="1"/>
    <col min="26" max="26" width="19.19921875" style="4" customWidth="1"/>
    <col min="27" max="27" width="14.296875" style="4" customWidth="1"/>
    <col min="28" max="28" width="19.19921875" style="4" customWidth="1"/>
    <col min="29" max="29" width="12.296875" style="4" customWidth="1"/>
    <col min="30" max="30" width="12.09765625" style="4" customWidth="1"/>
    <col min="31" max="31" width="14.5" style="4" customWidth="1"/>
    <col min="32" max="32" width="23.69921875" style="4" customWidth="1"/>
    <col min="33" max="16384" width="10.69921875" style="4"/>
  </cols>
  <sheetData>
    <row r="1" spans="1:33" ht="40" customHeight="1" x14ac:dyDescent="0.3">
      <c r="B1" s="27" t="s">
        <v>2</v>
      </c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8" t="s">
        <v>3</v>
      </c>
      <c r="O1" s="28"/>
      <c r="P1" s="28"/>
      <c r="Q1" s="28"/>
      <c r="R1" s="28"/>
      <c r="S1" s="28"/>
      <c r="T1" s="28"/>
      <c r="U1" s="28"/>
      <c r="V1" s="28"/>
      <c r="W1" s="28" t="s">
        <v>13</v>
      </c>
      <c r="X1" s="28"/>
      <c r="Y1" s="28"/>
      <c r="Z1" s="28"/>
      <c r="AA1" s="28"/>
      <c r="AB1" s="28"/>
      <c r="AC1" s="28" t="s">
        <v>4</v>
      </c>
      <c r="AD1" s="28"/>
      <c r="AE1" s="28"/>
      <c r="AF1" s="1" t="s">
        <v>1</v>
      </c>
      <c r="AG1" s="16"/>
    </row>
    <row r="2" spans="1:33" ht="109" customHeight="1" x14ac:dyDescent="0.3">
      <c r="A2" s="6" t="s">
        <v>14</v>
      </c>
      <c r="B2" s="6" t="s">
        <v>9</v>
      </c>
      <c r="C2" s="6" t="s">
        <v>10</v>
      </c>
      <c r="D2" s="6" t="s">
        <v>5</v>
      </c>
      <c r="E2" s="8" t="s">
        <v>38</v>
      </c>
      <c r="F2" s="6" t="s">
        <v>6</v>
      </c>
      <c r="G2" s="6" t="s">
        <v>53</v>
      </c>
      <c r="H2" s="6" t="s">
        <v>7</v>
      </c>
      <c r="I2" s="6" t="s">
        <v>39</v>
      </c>
      <c r="J2" s="6" t="s">
        <v>40</v>
      </c>
      <c r="K2" s="6" t="s">
        <v>8</v>
      </c>
      <c r="L2" s="6" t="s">
        <v>23</v>
      </c>
      <c r="M2" s="6" t="s">
        <v>24</v>
      </c>
      <c r="N2" s="8" t="s">
        <v>37</v>
      </c>
      <c r="O2" s="6" t="s">
        <v>25</v>
      </c>
      <c r="P2" s="6" t="s">
        <v>26</v>
      </c>
      <c r="Q2" s="6" t="s">
        <v>27</v>
      </c>
      <c r="R2" s="6" t="s">
        <v>28</v>
      </c>
      <c r="S2" s="6" t="s">
        <v>29</v>
      </c>
      <c r="T2" s="6" t="s">
        <v>30</v>
      </c>
      <c r="U2" s="6" t="s">
        <v>63</v>
      </c>
      <c r="V2" s="6" t="s">
        <v>31</v>
      </c>
      <c r="W2" s="6" t="s">
        <v>32</v>
      </c>
      <c r="X2" s="9" t="s">
        <v>41</v>
      </c>
      <c r="Y2" s="6" t="s">
        <v>33</v>
      </c>
      <c r="Z2" s="6" t="s">
        <v>34</v>
      </c>
      <c r="AA2" s="8" t="s">
        <v>35</v>
      </c>
      <c r="AB2" s="9" t="s">
        <v>57</v>
      </c>
      <c r="AC2" s="8" t="s">
        <v>58</v>
      </c>
      <c r="AD2" s="6" t="s">
        <v>59</v>
      </c>
      <c r="AE2" s="6" t="s">
        <v>36</v>
      </c>
      <c r="AF2" s="10" t="s">
        <v>69</v>
      </c>
    </row>
    <row r="3" spans="1:33" s="12" customFormat="1" ht="35.5" customHeight="1" x14ac:dyDescent="0.3">
      <c r="A3" s="11" t="s">
        <v>15</v>
      </c>
      <c r="B3" s="11"/>
      <c r="C3" s="11"/>
      <c r="D3" s="11" t="s">
        <v>42</v>
      </c>
      <c r="E3" s="11" t="s">
        <v>20</v>
      </c>
      <c r="F3" s="11" t="s">
        <v>42</v>
      </c>
      <c r="G3" s="11" t="s">
        <v>20</v>
      </c>
      <c r="H3" s="11" t="s">
        <v>42</v>
      </c>
      <c r="I3" s="11" t="s">
        <v>42</v>
      </c>
      <c r="J3" s="11" t="s">
        <v>43</v>
      </c>
      <c r="K3" s="11"/>
      <c r="L3" s="11" t="s">
        <v>44</v>
      </c>
      <c r="M3" s="11" t="s">
        <v>45</v>
      </c>
      <c r="N3" s="11" t="s">
        <v>20</v>
      </c>
      <c r="O3" s="11" t="s">
        <v>18</v>
      </c>
      <c r="P3" s="11" t="s">
        <v>16</v>
      </c>
      <c r="Q3" s="11" t="s">
        <v>17</v>
      </c>
      <c r="R3" s="11" t="s">
        <v>17</v>
      </c>
      <c r="S3" s="11" t="s">
        <v>17</v>
      </c>
      <c r="T3" s="11" t="s">
        <v>18</v>
      </c>
      <c r="U3" s="11" t="s">
        <v>17</v>
      </c>
      <c r="V3" s="11" t="s">
        <v>17</v>
      </c>
      <c r="W3" s="11" t="s">
        <v>17</v>
      </c>
      <c r="X3" s="11" t="s">
        <v>19</v>
      </c>
      <c r="Y3" s="11" t="s">
        <v>17</v>
      </c>
      <c r="Z3" s="11" t="s">
        <v>17</v>
      </c>
      <c r="AA3" s="11" t="s">
        <v>18</v>
      </c>
      <c r="AB3" s="11" t="s">
        <v>17</v>
      </c>
      <c r="AC3" s="11" t="s">
        <v>17</v>
      </c>
      <c r="AD3" s="11" t="s">
        <v>17</v>
      </c>
      <c r="AE3" s="11" t="s">
        <v>18</v>
      </c>
      <c r="AF3" s="11"/>
    </row>
    <row r="4" spans="1:33" s="5" customFormat="1" ht="40" customHeight="1" x14ac:dyDescent="0.3">
      <c r="A4" s="7">
        <v>1</v>
      </c>
      <c r="B4" s="7" t="s">
        <v>64</v>
      </c>
      <c r="C4" s="7">
        <v>21235341</v>
      </c>
      <c r="D4" s="7">
        <v>27</v>
      </c>
      <c r="E4" s="7">
        <v>10</v>
      </c>
      <c r="F4" s="7">
        <v>5</v>
      </c>
      <c r="G4" s="7">
        <v>1</v>
      </c>
      <c r="H4" s="7">
        <v>5</v>
      </c>
      <c r="I4" s="7">
        <v>5</v>
      </c>
      <c r="J4" s="7">
        <v>22</v>
      </c>
      <c r="K4" s="7" t="s">
        <v>12</v>
      </c>
      <c r="L4" s="7">
        <v>1</v>
      </c>
      <c r="M4" s="7" t="s">
        <v>11</v>
      </c>
      <c r="N4" s="2">
        <v>11</v>
      </c>
      <c r="O4" s="7">
        <v>1</v>
      </c>
      <c r="P4" s="2">
        <v>5</v>
      </c>
      <c r="Q4" s="7">
        <v>5</v>
      </c>
      <c r="R4" s="7">
        <v>5</v>
      </c>
      <c r="S4" s="7">
        <v>5</v>
      </c>
      <c r="T4" s="7">
        <v>1</v>
      </c>
      <c r="U4" s="2">
        <v>0</v>
      </c>
      <c r="V4" s="7">
        <v>5</v>
      </c>
      <c r="W4" s="7">
        <v>5</v>
      </c>
      <c r="X4" s="2">
        <v>0</v>
      </c>
      <c r="Y4" s="2">
        <v>0</v>
      </c>
      <c r="Z4" s="7">
        <v>5</v>
      </c>
      <c r="AA4" s="7">
        <v>1</v>
      </c>
      <c r="AB4" s="7">
        <v>5</v>
      </c>
      <c r="AC4" s="2">
        <v>2</v>
      </c>
      <c r="AD4" s="2">
        <v>1</v>
      </c>
      <c r="AE4" s="2">
        <v>1</v>
      </c>
      <c r="AF4" s="7">
        <v>3</v>
      </c>
      <c r="AG4" s="2"/>
    </row>
    <row r="5" spans="1:33" s="5" customFormat="1" ht="40" customHeight="1" x14ac:dyDescent="0.3">
      <c r="A5" s="7">
        <v>2</v>
      </c>
      <c r="B5" s="7" t="s">
        <v>65</v>
      </c>
      <c r="C5" s="7">
        <v>12321234</v>
      </c>
      <c r="D5" s="7">
        <v>27</v>
      </c>
      <c r="E5" s="7">
        <v>10</v>
      </c>
      <c r="F5" s="7">
        <v>6</v>
      </c>
      <c r="G5" s="2">
        <v>3</v>
      </c>
      <c r="H5" s="7">
        <v>2</v>
      </c>
      <c r="I5" s="7">
        <v>2</v>
      </c>
      <c r="J5" s="7">
        <v>25</v>
      </c>
      <c r="K5" s="7" t="s">
        <v>62</v>
      </c>
      <c r="L5" s="7">
        <v>5</v>
      </c>
      <c r="M5" s="7" t="s">
        <v>11</v>
      </c>
      <c r="N5" s="2">
        <v>10</v>
      </c>
      <c r="O5" s="2">
        <v>0</v>
      </c>
      <c r="P5" s="7">
        <v>6</v>
      </c>
      <c r="Q5" s="7">
        <v>3</v>
      </c>
      <c r="R5" s="7">
        <v>3</v>
      </c>
      <c r="S5" s="7">
        <v>5</v>
      </c>
      <c r="T5" s="7">
        <v>4</v>
      </c>
      <c r="U5" s="7">
        <v>2</v>
      </c>
      <c r="V5" s="7">
        <v>3</v>
      </c>
      <c r="W5" s="7">
        <v>4</v>
      </c>
      <c r="X5" s="2">
        <v>0</v>
      </c>
      <c r="Y5" s="7">
        <v>0</v>
      </c>
      <c r="Z5" s="2">
        <v>2</v>
      </c>
      <c r="AA5" s="7">
        <v>1</v>
      </c>
      <c r="AB5" s="7">
        <v>5</v>
      </c>
      <c r="AC5" s="7">
        <v>3</v>
      </c>
      <c r="AD5" s="7">
        <v>3</v>
      </c>
      <c r="AE5" s="7">
        <v>2</v>
      </c>
      <c r="AF5" s="7">
        <v>2</v>
      </c>
      <c r="AG5" s="18"/>
    </row>
    <row r="6" spans="1:33" ht="40" customHeight="1" x14ac:dyDescent="0.3">
      <c r="A6" s="7">
        <v>3</v>
      </c>
      <c r="B6" s="14" t="s">
        <v>100</v>
      </c>
      <c r="C6" s="14">
        <v>21563321</v>
      </c>
      <c r="D6" s="14">
        <v>32</v>
      </c>
      <c r="E6" s="14">
        <v>9</v>
      </c>
      <c r="F6" s="14">
        <v>10</v>
      </c>
      <c r="G6" s="17">
        <v>3</v>
      </c>
      <c r="H6" s="14">
        <v>5</v>
      </c>
      <c r="I6" s="14">
        <v>5</v>
      </c>
      <c r="J6" s="14">
        <v>27</v>
      </c>
      <c r="K6" s="14" t="s">
        <v>12</v>
      </c>
      <c r="L6" s="14">
        <v>8</v>
      </c>
      <c r="M6" s="14" t="s">
        <v>11</v>
      </c>
      <c r="N6" s="17">
        <v>12</v>
      </c>
      <c r="O6" s="14">
        <v>1</v>
      </c>
      <c r="P6" s="17">
        <v>1</v>
      </c>
      <c r="Q6" s="14">
        <v>4</v>
      </c>
      <c r="R6" s="14">
        <v>4</v>
      </c>
      <c r="S6" s="14">
        <v>5</v>
      </c>
      <c r="T6" s="14">
        <v>3</v>
      </c>
      <c r="U6" s="14">
        <v>1</v>
      </c>
      <c r="V6" s="14">
        <v>4</v>
      </c>
      <c r="W6" s="14">
        <v>5</v>
      </c>
      <c r="X6" s="17">
        <v>0</v>
      </c>
      <c r="Y6" s="14">
        <v>2</v>
      </c>
      <c r="Z6" s="14">
        <v>3</v>
      </c>
      <c r="AA6" s="14">
        <v>1</v>
      </c>
      <c r="AB6" s="14">
        <v>4</v>
      </c>
      <c r="AC6" s="14">
        <v>4</v>
      </c>
      <c r="AD6" s="14">
        <v>3</v>
      </c>
      <c r="AE6" s="14">
        <v>0</v>
      </c>
      <c r="AF6" s="7">
        <v>2</v>
      </c>
    </row>
    <row r="7" spans="1:33" ht="40" customHeight="1" x14ac:dyDescent="0.3">
      <c r="A7" s="7">
        <v>4</v>
      </c>
      <c r="B7" s="7" t="s">
        <v>66</v>
      </c>
      <c r="C7" s="7">
        <v>12135511</v>
      </c>
      <c r="D7" s="7">
        <v>26</v>
      </c>
      <c r="E7" s="7">
        <v>10</v>
      </c>
      <c r="F7" s="7">
        <v>4</v>
      </c>
      <c r="G7" s="7">
        <v>1</v>
      </c>
      <c r="H7" s="7">
        <v>4</v>
      </c>
      <c r="I7" s="7">
        <v>2</v>
      </c>
      <c r="J7" s="7">
        <v>4</v>
      </c>
      <c r="K7" s="7" t="s">
        <v>12</v>
      </c>
      <c r="L7" s="7">
        <v>7</v>
      </c>
      <c r="M7" s="2" t="s">
        <v>22</v>
      </c>
      <c r="N7" s="2">
        <v>11</v>
      </c>
      <c r="O7" s="7">
        <v>1</v>
      </c>
      <c r="P7" s="2">
        <v>0</v>
      </c>
      <c r="Q7" s="7">
        <v>4</v>
      </c>
      <c r="R7" s="7">
        <v>4</v>
      </c>
      <c r="S7" s="7">
        <v>4</v>
      </c>
      <c r="T7" s="7">
        <v>2</v>
      </c>
      <c r="U7" s="2">
        <v>0</v>
      </c>
      <c r="V7" s="7">
        <v>4</v>
      </c>
      <c r="W7" s="7">
        <v>4</v>
      </c>
      <c r="X7" s="2">
        <v>0</v>
      </c>
      <c r="Y7" s="7">
        <v>0</v>
      </c>
      <c r="Z7" s="7">
        <v>4</v>
      </c>
      <c r="AA7" s="7">
        <v>2</v>
      </c>
      <c r="AB7" s="7">
        <v>4</v>
      </c>
      <c r="AC7" s="7">
        <v>3</v>
      </c>
      <c r="AD7" s="2">
        <v>0</v>
      </c>
      <c r="AE7" s="2">
        <v>1</v>
      </c>
      <c r="AF7" s="7">
        <v>3</v>
      </c>
    </row>
    <row r="8" spans="1:33" ht="40" customHeight="1" x14ac:dyDescent="0.3">
      <c r="A8" s="7">
        <v>5</v>
      </c>
      <c r="B8" s="7" t="s">
        <v>104</v>
      </c>
      <c r="C8" s="7">
        <v>12135516</v>
      </c>
      <c r="D8" s="7">
        <v>31</v>
      </c>
      <c r="E8" s="7">
        <v>9</v>
      </c>
      <c r="F8" s="7">
        <v>8</v>
      </c>
      <c r="G8" s="7">
        <v>2</v>
      </c>
      <c r="H8" s="7">
        <v>5</v>
      </c>
      <c r="I8" s="7">
        <v>5</v>
      </c>
      <c r="J8" s="7">
        <v>4</v>
      </c>
      <c r="K8" s="7" t="s">
        <v>12</v>
      </c>
      <c r="L8" s="2">
        <v>35</v>
      </c>
      <c r="M8" s="7" t="s">
        <v>11</v>
      </c>
      <c r="N8" s="2">
        <v>11</v>
      </c>
      <c r="O8" s="7">
        <v>1</v>
      </c>
      <c r="P8" s="2">
        <v>0</v>
      </c>
      <c r="Q8" s="7">
        <v>4</v>
      </c>
      <c r="R8" s="7">
        <v>4</v>
      </c>
      <c r="S8" s="7">
        <v>4</v>
      </c>
      <c r="T8" s="7">
        <v>2</v>
      </c>
      <c r="U8" s="7">
        <v>1</v>
      </c>
      <c r="V8" s="7">
        <v>3</v>
      </c>
      <c r="W8" s="7">
        <v>4</v>
      </c>
      <c r="X8" s="2">
        <v>0</v>
      </c>
      <c r="Y8" s="7">
        <v>1</v>
      </c>
      <c r="Z8" s="7">
        <v>3</v>
      </c>
      <c r="AA8" s="7">
        <v>2</v>
      </c>
      <c r="AB8" s="7">
        <v>4</v>
      </c>
      <c r="AC8" s="7">
        <v>3</v>
      </c>
      <c r="AD8" s="2">
        <v>1</v>
      </c>
      <c r="AE8" s="2">
        <v>1</v>
      </c>
      <c r="AF8" s="7">
        <v>2</v>
      </c>
    </row>
    <row r="9" spans="1:33" ht="40" customHeight="1" x14ac:dyDescent="0.3">
      <c r="A9" s="7">
        <v>6</v>
      </c>
      <c r="B9" s="7" t="s">
        <v>21</v>
      </c>
      <c r="C9" s="7">
        <v>7124617</v>
      </c>
      <c r="D9" s="7">
        <v>22</v>
      </c>
      <c r="E9" s="7">
        <v>13</v>
      </c>
      <c r="F9" s="7">
        <v>0</v>
      </c>
      <c r="G9" s="7">
        <v>1</v>
      </c>
      <c r="H9" s="7">
        <v>0</v>
      </c>
      <c r="I9" s="7">
        <v>0</v>
      </c>
      <c r="J9" s="7">
        <v>8</v>
      </c>
      <c r="K9" s="7" t="s">
        <v>12</v>
      </c>
      <c r="L9" s="7">
        <v>2</v>
      </c>
      <c r="M9" s="7" t="s">
        <v>11</v>
      </c>
      <c r="N9" s="3">
        <v>9</v>
      </c>
      <c r="O9" s="7">
        <v>1</v>
      </c>
      <c r="P9" s="7">
        <v>6</v>
      </c>
      <c r="Q9" s="7">
        <v>3</v>
      </c>
      <c r="R9" s="7">
        <v>4</v>
      </c>
      <c r="S9" s="7">
        <v>3</v>
      </c>
      <c r="T9" s="7">
        <v>2</v>
      </c>
      <c r="U9" s="2">
        <v>0</v>
      </c>
      <c r="V9" s="7">
        <v>4</v>
      </c>
      <c r="W9" s="7">
        <v>3</v>
      </c>
      <c r="X9" s="7" t="s">
        <v>0</v>
      </c>
      <c r="Y9" s="7">
        <v>0</v>
      </c>
      <c r="Z9" s="7">
        <v>4</v>
      </c>
      <c r="AA9" s="7">
        <v>1</v>
      </c>
      <c r="AB9" s="7">
        <v>4</v>
      </c>
      <c r="AC9" s="7">
        <v>4</v>
      </c>
      <c r="AD9" s="7">
        <v>5</v>
      </c>
      <c r="AE9" s="2">
        <v>1</v>
      </c>
      <c r="AF9" s="7">
        <v>1</v>
      </c>
    </row>
    <row r="10" spans="1:33" ht="40" customHeight="1" x14ac:dyDescent="0.3">
      <c r="A10" s="7">
        <v>7</v>
      </c>
      <c r="B10" s="7" t="s">
        <v>46</v>
      </c>
      <c r="C10" s="7">
        <v>6543214</v>
      </c>
      <c r="D10" s="7">
        <v>22</v>
      </c>
      <c r="E10" s="7">
        <v>13</v>
      </c>
      <c r="F10" s="7">
        <v>0</v>
      </c>
      <c r="G10" s="7">
        <v>1</v>
      </c>
      <c r="H10" s="7">
        <v>0</v>
      </c>
      <c r="I10" s="7">
        <v>0</v>
      </c>
      <c r="J10" s="7">
        <v>10</v>
      </c>
      <c r="K10" s="7" t="s">
        <v>47</v>
      </c>
      <c r="L10" s="7">
        <v>3</v>
      </c>
      <c r="M10" s="7" t="s">
        <v>22</v>
      </c>
      <c r="N10" s="3">
        <v>9</v>
      </c>
      <c r="O10" s="7">
        <v>2</v>
      </c>
      <c r="P10" s="7">
        <v>12</v>
      </c>
      <c r="Q10" s="2">
        <v>0</v>
      </c>
      <c r="R10" s="7">
        <v>5</v>
      </c>
      <c r="S10" s="7">
        <v>4</v>
      </c>
      <c r="T10" s="7">
        <v>1</v>
      </c>
      <c r="U10" s="7">
        <v>3</v>
      </c>
      <c r="V10" s="7">
        <v>5</v>
      </c>
      <c r="W10" s="2">
        <v>2</v>
      </c>
      <c r="X10" s="7">
        <v>0</v>
      </c>
      <c r="Y10" s="7">
        <v>0</v>
      </c>
      <c r="Z10" s="7">
        <v>3</v>
      </c>
      <c r="AA10" s="7">
        <v>1</v>
      </c>
      <c r="AB10" s="7">
        <v>3</v>
      </c>
      <c r="AC10" s="2">
        <v>2</v>
      </c>
      <c r="AD10" s="2">
        <v>2</v>
      </c>
      <c r="AE10" s="7">
        <v>2</v>
      </c>
      <c r="AF10" s="7">
        <v>2</v>
      </c>
    </row>
    <row r="11" spans="1:33" ht="40" customHeight="1" x14ac:dyDescent="0.3">
      <c r="A11" s="7">
        <v>8</v>
      </c>
      <c r="B11" s="7" t="s">
        <v>48</v>
      </c>
      <c r="C11" s="7">
        <v>2341256</v>
      </c>
      <c r="D11" s="7">
        <v>24</v>
      </c>
      <c r="E11" s="7">
        <v>12</v>
      </c>
      <c r="F11" s="7">
        <v>1</v>
      </c>
      <c r="G11" s="7">
        <v>1</v>
      </c>
      <c r="H11" s="7">
        <v>1</v>
      </c>
      <c r="I11" s="7">
        <v>1</v>
      </c>
      <c r="J11" s="7">
        <v>11</v>
      </c>
      <c r="K11" s="7" t="s">
        <v>73</v>
      </c>
      <c r="L11" s="2">
        <v>11</v>
      </c>
      <c r="M11" s="2" t="s">
        <v>49</v>
      </c>
      <c r="N11" s="2">
        <v>10</v>
      </c>
      <c r="O11" s="2">
        <v>0</v>
      </c>
      <c r="P11" s="2">
        <v>5</v>
      </c>
      <c r="Q11" s="7">
        <v>3</v>
      </c>
      <c r="R11" s="2">
        <v>1</v>
      </c>
      <c r="S11" s="2">
        <v>0</v>
      </c>
      <c r="T11" s="7">
        <v>2</v>
      </c>
      <c r="U11" s="7">
        <v>1</v>
      </c>
      <c r="V11" s="2">
        <v>2</v>
      </c>
      <c r="W11" s="2">
        <v>0</v>
      </c>
      <c r="X11" s="2">
        <v>0</v>
      </c>
      <c r="Y11" s="7">
        <v>0</v>
      </c>
      <c r="Z11" s="2">
        <v>1</v>
      </c>
      <c r="AA11" s="2">
        <v>0</v>
      </c>
      <c r="AB11" s="2">
        <v>1</v>
      </c>
      <c r="AC11" s="2">
        <v>2</v>
      </c>
      <c r="AD11" s="2">
        <v>0</v>
      </c>
      <c r="AE11" s="2">
        <v>1</v>
      </c>
      <c r="AF11" s="7">
        <v>5</v>
      </c>
    </row>
    <row r="12" spans="1:33" ht="40" customHeight="1" x14ac:dyDescent="0.3">
      <c r="A12" s="7">
        <v>9</v>
      </c>
      <c r="B12" s="7" t="s">
        <v>50</v>
      </c>
      <c r="C12" s="7">
        <v>3124617</v>
      </c>
      <c r="D12" s="3">
        <v>26</v>
      </c>
      <c r="E12" s="3">
        <v>11</v>
      </c>
      <c r="F12" s="3">
        <v>4</v>
      </c>
      <c r="G12" s="7">
        <v>2</v>
      </c>
      <c r="H12" s="3">
        <v>2</v>
      </c>
      <c r="I12" s="3">
        <v>2</v>
      </c>
      <c r="J12" s="3">
        <v>24</v>
      </c>
      <c r="K12" s="3" t="s">
        <v>51</v>
      </c>
      <c r="L12" s="3">
        <v>5</v>
      </c>
      <c r="M12" s="3" t="s">
        <v>49</v>
      </c>
      <c r="N12" s="3">
        <v>9</v>
      </c>
      <c r="O12" s="7">
        <v>2</v>
      </c>
      <c r="P12" s="2">
        <v>0</v>
      </c>
      <c r="Q12" s="2">
        <v>2</v>
      </c>
      <c r="R12" s="7">
        <v>4</v>
      </c>
      <c r="S12" s="7">
        <v>3</v>
      </c>
      <c r="T12" s="2">
        <v>0</v>
      </c>
      <c r="U12" s="7">
        <v>4</v>
      </c>
      <c r="V12" s="7">
        <v>3</v>
      </c>
      <c r="W12" s="7">
        <v>4</v>
      </c>
      <c r="X12" s="7">
        <v>0</v>
      </c>
      <c r="Y12" s="7">
        <v>1</v>
      </c>
      <c r="Z12" s="7">
        <v>5</v>
      </c>
      <c r="AA12" s="2">
        <v>0</v>
      </c>
      <c r="AB12" s="7">
        <v>3</v>
      </c>
      <c r="AC12" s="7">
        <v>3</v>
      </c>
      <c r="AD12" s="7">
        <v>3</v>
      </c>
      <c r="AE12" s="7">
        <v>2</v>
      </c>
      <c r="AF12" s="7">
        <v>2</v>
      </c>
    </row>
    <row r="13" spans="1:33" ht="40" customHeight="1" x14ac:dyDescent="0.3">
      <c r="A13" s="7">
        <v>10</v>
      </c>
      <c r="B13" s="7" t="s">
        <v>52</v>
      </c>
      <c r="C13" s="7">
        <v>4124618</v>
      </c>
      <c r="D13" s="3">
        <v>27</v>
      </c>
      <c r="E13" s="3">
        <v>11</v>
      </c>
      <c r="F13" s="3">
        <v>5</v>
      </c>
      <c r="G13" s="2">
        <v>3</v>
      </c>
      <c r="H13" s="3">
        <v>2</v>
      </c>
      <c r="I13" s="3">
        <v>1</v>
      </c>
      <c r="J13" s="3">
        <v>24</v>
      </c>
      <c r="K13" s="3" t="s">
        <v>54</v>
      </c>
      <c r="L13" s="2">
        <v>12</v>
      </c>
      <c r="M13" s="2" t="s">
        <v>49</v>
      </c>
      <c r="N13" s="2">
        <v>10</v>
      </c>
      <c r="O13" s="7">
        <v>1</v>
      </c>
      <c r="P13" s="7">
        <v>7</v>
      </c>
      <c r="Q13" s="7">
        <v>5</v>
      </c>
      <c r="R13" s="7">
        <v>5</v>
      </c>
      <c r="S13" s="7">
        <v>5</v>
      </c>
      <c r="T13" s="2">
        <v>0</v>
      </c>
      <c r="U13" s="2">
        <v>0</v>
      </c>
      <c r="V13" s="2">
        <v>1</v>
      </c>
      <c r="W13" s="7">
        <v>3</v>
      </c>
      <c r="X13" s="7">
        <v>1</v>
      </c>
      <c r="Y13" s="7">
        <v>1</v>
      </c>
      <c r="Z13" s="7">
        <v>3</v>
      </c>
      <c r="AA13" s="7">
        <v>2</v>
      </c>
      <c r="AB13" s="7">
        <v>4</v>
      </c>
      <c r="AC13" s="7">
        <v>4</v>
      </c>
      <c r="AD13" s="2">
        <v>2</v>
      </c>
      <c r="AE13" s="7">
        <v>2</v>
      </c>
      <c r="AF13" s="7">
        <v>3</v>
      </c>
    </row>
    <row r="14" spans="1:33" ht="40" customHeight="1" x14ac:dyDescent="0.3">
      <c r="A14" s="7">
        <v>11</v>
      </c>
      <c r="B14" s="7" t="s">
        <v>55</v>
      </c>
      <c r="C14" s="7">
        <v>2134619</v>
      </c>
      <c r="D14" s="7">
        <v>31</v>
      </c>
      <c r="E14" s="2">
        <v>9</v>
      </c>
      <c r="F14" s="7">
        <v>8</v>
      </c>
      <c r="G14" s="7">
        <v>1</v>
      </c>
      <c r="H14" s="7">
        <v>9</v>
      </c>
      <c r="I14" s="2">
        <v>7</v>
      </c>
      <c r="J14" s="2">
        <v>36</v>
      </c>
      <c r="K14" s="7" t="s">
        <v>56</v>
      </c>
      <c r="L14" s="7">
        <v>10</v>
      </c>
      <c r="M14" s="7" t="s">
        <v>11</v>
      </c>
      <c r="N14" s="2">
        <v>12</v>
      </c>
      <c r="O14" s="7">
        <v>1</v>
      </c>
      <c r="P14" s="2">
        <v>0</v>
      </c>
      <c r="Q14" s="7">
        <v>4</v>
      </c>
      <c r="R14" s="7">
        <v>3</v>
      </c>
      <c r="S14" s="7">
        <v>3</v>
      </c>
      <c r="T14" s="7">
        <v>1</v>
      </c>
      <c r="U14" s="7">
        <v>1</v>
      </c>
      <c r="V14" s="7">
        <v>5</v>
      </c>
      <c r="W14" s="2">
        <v>2</v>
      </c>
      <c r="X14" s="2">
        <v>0</v>
      </c>
      <c r="Y14" s="7">
        <v>5</v>
      </c>
      <c r="Z14" s="2">
        <v>2</v>
      </c>
      <c r="AA14" s="7">
        <v>1</v>
      </c>
      <c r="AB14" s="2">
        <v>2</v>
      </c>
      <c r="AC14" s="2">
        <v>1</v>
      </c>
      <c r="AD14" s="2">
        <v>0</v>
      </c>
      <c r="AE14" s="2">
        <v>1</v>
      </c>
      <c r="AF14" s="7">
        <v>4</v>
      </c>
    </row>
    <row r="15" spans="1:33" ht="40" customHeight="1" x14ac:dyDescent="0.3">
      <c r="A15" s="7">
        <v>12</v>
      </c>
      <c r="B15" s="7" t="s">
        <v>60</v>
      </c>
      <c r="C15" s="7">
        <v>2124612</v>
      </c>
      <c r="D15" s="7">
        <v>37</v>
      </c>
      <c r="E15" s="2">
        <v>9</v>
      </c>
      <c r="F15" s="7">
        <v>13</v>
      </c>
      <c r="G15" s="2">
        <v>3</v>
      </c>
      <c r="H15" s="7">
        <v>7</v>
      </c>
      <c r="I15" s="2">
        <v>7</v>
      </c>
      <c r="J15" s="2">
        <v>48</v>
      </c>
      <c r="K15" s="7" t="s">
        <v>61</v>
      </c>
      <c r="L15" s="2">
        <v>20</v>
      </c>
      <c r="M15" s="7" t="s">
        <v>22</v>
      </c>
      <c r="N15" s="3">
        <v>9</v>
      </c>
      <c r="O15" s="2">
        <v>0</v>
      </c>
      <c r="P15" s="2">
        <v>5</v>
      </c>
      <c r="Q15" s="2">
        <v>2</v>
      </c>
      <c r="R15" s="2">
        <v>0</v>
      </c>
      <c r="S15" s="2">
        <v>1</v>
      </c>
      <c r="T15" s="2">
        <v>0</v>
      </c>
      <c r="U15" s="2">
        <v>0</v>
      </c>
      <c r="V15" s="2">
        <v>1</v>
      </c>
      <c r="W15" s="2">
        <v>0</v>
      </c>
      <c r="X15" s="7">
        <v>0</v>
      </c>
      <c r="Y15" s="2">
        <v>0</v>
      </c>
      <c r="Z15" s="7">
        <v>3</v>
      </c>
      <c r="AA15" s="7">
        <v>1</v>
      </c>
      <c r="AB15" s="7">
        <v>3</v>
      </c>
      <c r="AC15" s="7">
        <v>3</v>
      </c>
      <c r="AD15" s="7">
        <v>3</v>
      </c>
      <c r="AE15" s="7">
        <v>2</v>
      </c>
      <c r="AF15" s="7">
        <v>4</v>
      </c>
    </row>
    <row r="16" spans="1:33" ht="40" customHeight="1" x14ac:dyDescent="0.3">
      <c r="A16" s="7">
        <v>13</v>
      </c>
      <c r="B16" s="7" t="s">
        <v>68</v>
      </c>
      <c r="C16" s="7">
        <v>2124626</v>
      </c>
      <c r="D16" s="7">
        <v>23</v>
      </c>
      <c r="E16" s="7">
        <v>13</v>
      </c>
      <c r="F16" s="7">
        <v>1</v>
      </c>
      <c r="G16" s="7">
        <v>1</v>
      </c>
      <c r="H16" s="7">
        <v>1</v>
      </c>
      <c r="I16" s="7">
        <v>1</v>
      </c>
      <c r="J16" s="7">
        <v>12</v>
      </c>
      <c r="K16" s="7" t="s">
        <v>67</v>
      </c>
      <c r="L16" s="2">
        <v>17</v>
      </c>
      <c r="M16" s="2" t="s">
        <v>22</v>
      </c>
      <c r="N16" s="2">
        <v>10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0</v>
      </c>
      <c r="X16" s="2">
        <v>0</v>
      </c>
      <c r="Y16" s="7">
        <v>0</v>
      </c>
      <c r="Z16" s="2">
        <v>0</v>
      </c>
      <c r="AA16" s="2">
        <v>0</v>
      </c>
      <c r="AB16" s="2">
        <v>0</v>
      </c>
      <c r="AC16" s="2">
        <v>0</v>
      </c>
      <c r="AD16" s="2">
        <v>0</v>
      </c>
      <c r="AE16" s="2">
        <v>1</v>
      </c>
      <c r="AF16" s="7">
        <v>5</v>
      </c>
    </row>
    <row r="17" spans="1:32" ht="40" customHeight="1" x14ac:dyDescent="0.3">
      <c r="A17" s="7">
        <v>14</v>
      </c>
      <c r="B17" s="7" t="s">
        <v>70</v>
      </c>
      <c r="C17" s="7">
        <f>(2124630+3)</f>
        <v>2124633</v>
      </c>
      <c r="D17" s="7">
        <v>23</v>
      </c>
      <c r="E17" s="7">
        <v>13</v>
      </c>
      <c r="F17" s="7">
        <v>1</v>
      </c>
      <c r="G17" s="7">
        <v>1</v>
      </c>
      <c r="H17" s="7">
        <v>1</v>
      </c>
      <c r="I17" s="7">
        <v>1</v>
      </c>
      <c r="J17" s="7">
        <v>13</v>
      </c>
      <c r="K17" s="7" t="s">
        <v>47</v>
      </c>
      <c r="L17" s="7">
        <v>9</v>
      </c>
      <c r="M17" s="7" t="s">
        <v>49</v>
      </c>
      <c r="N17" s="3">
        <v>9</v>
      </c>
      <c r="O17" s="7">
        <v>1</v>
      </c>
      <c r="P17" s="2">
        <v>2</v>
      </c>
      <c r="Q17" s="2">
        <v>1</v>
      </c>
      <c r="R17" s="2">
        <v>1</v>
      </c>
      <c r="S17" s="2">
        <v>1</v>
      </c>
      <c r="T17" s="7">
        <v>1</v>
      </c>
      <c r="U17" s="7">
        <v>1</v>
      </c>
      <c r="V17" s="2">
        <v>1</v>
      </c>
      <c r="W17" s="2">
        <v>1</v>
      </c>
      <c r="X17" s="7">
        <v>0</v>
      </c>
      <c r="Y17" s="7">
        <v>0</v>
      </c>
      <c r="Z17" s="2">
        <v>1</v>
      </c>
      <c r="AA17" s="2">
        <v>0</v>
      </c>
      <c r="AB17" s="2">
        <v>1</v>
      </c>
      <c r="AC17" s="2">
        <v>1</v>
      </c>
      <c r="AD17" s="2">
        <v>1</v>
      </c>
      <c r="AE17" s="2">
        <v>1</v>
      </c>
      <c r="AF17" s="7">
        <v>4</v>
      </c>
    </row>
    <row r="18" spans="1:32" ht="40" customHeight="1" x14ac:dyDescent="0.3">
      <c r="A18" s="7">
        <v>15</v>
      </c>
      <c r="B18" s="7" t="s">
        <v>71</v>
      </c>
      <c r="C18" s="7">
        <f>C17+3</f>
        <v>2124636</v>
      </c>
      <c r="D18" s="7">
        <v>23</v>
      </c>
      <c r="E18" s="7">
        <v>13</v>
      </c>
      <c r="F18" s="7">
        <v>1</v>
      </c>
      <c r="G18" s="7">
        <v>1</v>
      </c>
      <c r="H18" s="7">
        <v>1</v>
      </c>
      <c r="I18" s="7">
        <v>1</v>
      </c>
      <c r="J18" s="7">
        <v>11</v>
      </c>
      <c r="K18" s="7" t="s">
        <v>56</v>
      </c>
      <c r="L18" s="7">
        <v>6</v>
      </c>
      <c r="M18" s="7" t="s">
        <v>11</v>
      </c>
      <c r="N18" s="2">
        <v>11</v>
      </c>
      <c r="O18" s="7">
        <v>2</v>
      </c>
      <c r="P18" s="2">
        <v>4</v>
      </c>
      <c r="Q18" s="2">
        <v>2</v>
      </c>
      <c r="R18" s="2">
        <v>2</v>
      </c>
      <c r="S18" s="2">
        <v>2</v>
      </c>
      <c r="T18" s="7">
        <v>2</v>
      </c>
      <c r="U18" s="7">
        <v>2</v>
      </c>
      <c r="V18" s="2">
        <v>2</v>
      </c>
      <c r="W18" s="2">
        <v>2</v>
      </c>
      <c r="X18" s="2">
        <v>0</v>
      </c>
      <c r="Y18" s="7">
        <v>0</v>
      </c>
      <c r="Z18" s="2">
        <v>2</v>
      </c>
      <c r="AA18" s="7">
        <v>2</v>
      </c>
      <c r="AB18" s="2">
        <v>2</v>
      </c>
      <c r="AC18" s="2">
        <v>2</v>
      </c>
      <c r="AD18" s="2">
        <v>2</v>
      </c>
      <c r="AE18" s="7">
        <v>2</v>
      </c>
      <c r="AF18" s="7">
        <v>4</v>
      </c>
    </row>
    <row r="19" spans="1:32" ht="40" customHeight="1" x14ac:dyDescent="0.3">
      <c r="A19" s="7">
        <v>16</v>
      </c>
      <c r="B19" s="7" t="s">
        <v>72</v>
      </c>
      <c r="C19" s="7">
        <v>2124639</v>
      </c>
      <c r="D19" s="7">
        <v>22</v>
      </c>
      <c r="E19" s="7">
        <v>13</v>
      </c>
      <c r="F19" s="7">
        <v>1</v>
      </c>
      <c r="G19" s="7">
        <v>1</v>
      </c>
      <c r="H19" s="7">
        <v>1</v>
      </c>
      <c r="I19" s="7">
        <v>1</v>
      </c>
      <c r="J19" s="7">
        <v>12</v>
      </c>
      <c r="K19" s="7" t="s">
        <v>73</v>
      </c>
      <c r="L19" s="7">
        <v>8</v>
      </c>
      <c r="M19" s="7" t="s">
        <v>22</v>
      </c>
      <c r="N19" s="3">
        <v>9</v>
      </c>
      <c r="O19" s="7">
        <v>1</v>
      </c>
      <c r="P19" s="7">
        <v>6</v>
      </c>
      <c r="Q19" s="2">
        <v>0</v>
      </c>
      <c r="R19" s="7">
        <v>3</v>
      </c>
      <c r="S19" s="7">
        <v>3</v>
      </c>
      <c r="T19" s="7">
        <v>2</v>
      </c>
      <c r="U19" s="7">
        <v>3</v>
      </c>
      <c r="V19" s="7">
        <v>3</v>
      </c>
      <c r="W19" s="2">
        <v>2</v>
      </c>
      <c r="X19" s="7">
        <v>0</v>
      </c>
      <c r="Y19" s="7">
        <v>0</v>
      </c>
      <c r="Z19" s="7">
        <v>3</v>
      </c>
      <c r="AA19" s="7">
        <v>1</v>
      </c>
      <c r="AB19" s="7">
        <v>3</v>
      </c>
      <c r="AC19" s="7">
        <v>3</v>
      </c>
      <c r="AD19" s="7">
        <v>3</v>
      </c>
      <c r="AE19" s="2">
        <v>1</v>
      </c>
      <c r="AF19" s="7">
        <v>2</v>
      </c>
    </row>
    <row r="20" spans="1:32" ht="40" customHeight="1" x14ac:dyDescent="0.3">
      <c r="A20" s="7">
        <v>17</v>
      </c>
      <c r="B20" s="7" t="s">
        <v>74</v>
      </c>
      <c r="C20" s="7">
        <v>2124642</v>
      </c>
      <c r="D20" s="7">
        <v>22</v>
      </c>
      <c r="E20" s="7">
        <v>13</v>
      </c>
      <c r="F20" s="7">
        <v>1</v>
      </c>
      <c r="G20" s="7">
        <v>1</v>
      </c>
      <c r="H20" s="7">
        <v>1</v>
      </c>
      <c r="I20" s="7">
        <v>0</v>
      </c>
      <c r="J20" s="7">
        <v>11</v>
      </c>
      <c r="K20" s="7" t="s">
        <v>62</v>
      </c>
      <c r="L20" s="2">
        <v>18</v>
      </c>
      <c r="M20" s="7" t="s">
        <v>22</v>
      </c>
      <c r="N20" s="3">
        <v>9</v>
      </c>
      <c r="O20" s="2">
        <v>0</v>
      </c>
      <c r="P20" s="7">
        <v>10</v>
      </c>
      <c r="Q20" s="7">
        <v>4</v>
      </c>
      <c r="R20" s="7">
        <v>4</v>
      </c>
      <c r="S20" s="7">
        <v>4</v>
      </c>
      <c r="T20" s="7">
        <v>1</v>
      </c>
      <c r="U20" s="7">
        <v>4</v>
      </c>
      <c r="V20" s="7">
        <v>4</v>
      </c>
      <c r="W20" s="7">
        <v>4</v>
      </c>
      <c r="X20" s="7">
        <v>0</v>
      </c>
      <c r="Y20" s="7">
        <v>0</v>
      </c>
      <c r="Z20" s="7">
        <v>4</v>
      </c>
      <c r="AA20" s="2">
        <v>0</v>
      </c>
      <c r="AB20" s="7">
        <v>4</v>
      </c>
      <c r="AC20" s="7">
        <v>4</v>
      </c>
      <c r="AD20" s="7">
        <v>4</v>
      </c>
      <c r="AE20" s="7">
        <v>2</v>
      </c>
      <c r="AF20" s="7">
        <v>2</v>
      </c>
    </row>
    <row r="21" spans="1:32" ht="40" customHeight="1" x14ac:dyDescent="0.3">
      <c r="A21" s="7">
        <v>18</v>
      </c>
      <c r="B21" s="7" t="s">
        <v>75</v>
      </c>
      <c r="C21" s="7">
        <v>2124645</v>
      </c>
      <c r="D21" s="7">
        <v>23</v>
      </c>
      <c r="E21" s="7">
        <v>13</v>
      </c>
      <c r="F21" s="7">
        <v>2</v>
      </c>
      <c r="G21" s="7">
        <v>1</v>
      </c>
      <c r="H21" s="7">
        <v>2</v>
      </c>
      <c r="I21" s="7">
        <v>2</v>
      </c>
      <c r="J21" s="7">
        <v>24</v>
      </c>
      <c r="K21" s="7" t="s">
        <v>76</v>
      </c>
      <c r="L21" s="2">
        <v>12</v>
      </c>
      <c r="M21" s="7" t="s">
        <v>11</v>
      </c>
      <c r="N21" s="2">
        <v>10</v>
      </c>
      <c r="O21" s="7">
        <v>2</v>
      </c>
      <c r="P21" s="7">
        <v>6</v>
      </c>
      <c r="Q21" s="7">
        <v>5</v>
      </c>
      <c r="R21" s="7">
        <v>5</v>
      </c>
      <c r="S21" s="7">
        <v>5</v>
      </c>
      <c r="T21" s="7">
        <v>1</v>
      </c>
      <c r="U21" s="7">
        <v>5</v>
      </c>
      <c r="V21" s="7">
        <v>5</v>
      </c>
      <c r="W21" s="7">
        <v>5</v>
      </c>
      <c r="X21" s="2">
        <v>0</v>
      </c>
      <c r="Y21" s="7">
        <v>0</v>
      </c>
      <c r="Z21" s="7">
        <v>5</v>
      </c>
      <c r="AA21" s="7">
        <v>1</v>
      </c>
      <c r="AB21" s="7">
        <v>5</v>
      </c>
      <c r="AC21" s="7">
        <v>5</v>
      </c>
      <c r="AD21" s="7">
        <v>5</v>
      </c>
      <c r="AE21" s="7">
        <v>0</v>
      </c>
      <c r="AF21" s="7">
        <v>2</v>
      </c>
    </row>
    <row r="22" spans="1:32" ht="40" customHeight="1" x14ac:dyDescent="0.3">
      <c r="A22" s="7">
        <v>19</v>
      </c>
      <c r="B22" s="7" t="s">
        <v>77</v>
      </c>
      <c r="C22" s="7">
        <v>2124648</v>
      </c>
      <c r="D22" s="7">
        <v>24</v>
      </c>
      <c r="E22" s="7">
        <v>13</v>
      </c>
      <c r="F22" s="7">
        <v>1</v>
      </c>
      <c r="G22" s="7">
        <v>1</v>
      </c>
      <c r="H22" s="7">
        <v>1</v>
      </c>
      <c r="I22" s="7">
        <v>1</v>
      </c>
      <c r="J22" s="7">
        <v>13</v>
      </c>
      <c r="K22" s="7" t="s">
        <v>54</v>
      </c>
      <c r="L22" s="7">
        <v>3</v>
      </c>
      <c r="M22" s="7" t="s">
        <v>22</v>
      </c>
      <c r="N22" s="3">
        <v>9</v>
      </c>
      <c r="O22" s="7">
        <v>1</v>
      </c>
      <c r="P22" s="7">
        <v>8</v>
      </c>
      <c r="Q22" s="2">
        <v>2</v>
      </c>
      <c r="R22" s="2">
        <v>1</v>
      </c>
      <c r="S22" s="2">
        <v>2</v>
      </c>
      <c r="T22" s="7">
        <v>2</v>
      </c>
      <c r="U22" s="7">
        <v>3</v>
      </c>
      <c r="V22" s="7">
        <v>4</v>
      </c>
      <c r="W22" s="7">
        <v>5</v>
      </c>
      <c r="X22" s="7">
        <v>0</v>
      </c>
      <c r="Y22" s="7">
        <v>0</v>
      </c>
      <c r="Z22" s="7">
        <v>5</v>
      </c>
      <c r="AA22" s="7">
        <v>2</v>
      </c>
      <c r="AB22" s="7">
        <v>4</v>
      </c>
      <c r="AC22" s="7">
        <v>4</v>
      </c>
      <c r="AD22" s="7">
        <v>4</v>
      </c>
      <c r="AE22" s="7">
        <v>2</v>
      </c>
      <c r="AF22" s="7">
        <v>2</v>
      </c>
    </row>
    <row r="23" spans="1:32" ht="40" customHeight="1" x14ac:dyDescent="0.3">
      <c r="A23" s="7">
        <v>20</v>
      </c>
      <c r="B23" s="7" t="s">
        <v>78</v>
      </c>
      <c r="C23" s="7">
        <v>2124651</v>
      </c>
      <c r="D23" s="7">
        <v>23</v>
      </c>
      <c r="E23" s="7">
        <v>13</v>
      </c>
      <c r="F23" s="7">
        <v>1</v>
      </c>
      <c r="G23" s="7">
        <v>1</v>
      </c>
      <c r="H23" s="7">
        <v>1</v>
      </c>
      <c r="I23" s="7">
        <v>1</v>
      </c>
      <c r="J23" s="7">
        <v>12</v>
      </c>
      <c r="K23" s="7" t="s">
        <v>12</v>
      </c>
      <c r="L23" s="7">
        <v>4</v>
      </c>
      <c r="M23" s="7" t="s">
        <v>11</v>
      </c>
      <c r="N23" s="3">
        <v>9</v>
      </c>
      <c r="O23" s="2">
        <v>0</v>
      </c>
      <c r="P23" s="2">
        <v>2</v>
      </c>
      <c r="Q23" s="2">
        <v>1</v>
      </c>
      <c r="R23" s="2">
        <v>2</v>
      </c>
      <c r="S23" s="2">
        <v>2</v>
      </c>
      <c r="T23" s="7">
        <v>2</v>
      </c>
      <c r="U23" s="7">
        <v>1</v>
      </c>
      <c r="V23" s="2">
        <v>2</v>
      </c>
      <c r="W23" s="2">
        <v>2</v>
      </c>
      <c r="X23" s="7">
        <v>0</v>
      </c>
      <c r="Y23" s="7">
        <v>0</v>
      </c>
      <c r="Z23" s="2">
        <v>2</v>
      </c>
      <c r="AA23" s="7">
        <v>2</v>
      </c>
      <c r="AB23" s="7">
        <v>3</v>
      </c>
      <c r="AC23" s="7">
        <v>3</v>
      </c>
      <c r="AD23" s="7">
        <v>4</v>
      </c>
      <c r="AE23" s="7">
        <v>2</v>
      </c>
      <c r="AF23" s="7">
        <v>3</v>
      </c>
    </row>
    <row r="24" spans="1:32" ht="40" customHeight="1" x14ac:dyDescent="0.3">
      <c r="A24" s="7">
        <v>21</v>
      </c>
      <c r="B24" s="7" t="s">
        <v>79</v>
      </c>
      <c r="C24" s="7">
        <v>2124654</v>
      </c>
      <c r="D24" s="7">
        <v>23</v>
      </c>
      <c r="E24" s="7">
        <v>13</v>
      </c>
      <c r="F24" s="7">
        <v>2</v>
      </c>
      <c r="G24" s="7">
        <v>1</v>
      </c>
      <c r="H24" s="7">
        <v>2</v>
      </c>
      <c r="I24" s="7">
        <v>1</v>
      </c>
      <c r="J24" s="7">
        <v>24</v>
      </c>
      <c r="K24" s="7" t="s">
        <v>12</v>
      </c>
      <c r="L24" s="2">
        <v>11</v>
      </c>
      <c r="M24" s="2" t="s">
        <v>49</v>
      </c>
      <c r="N24" s="2">
        <v>10</v>
      </c>
      <c r="O24" s="7">
        <v>2</v>
      </c>
      <c r="P24" s="7">
        <v>15</v>
      </c>
      <c r="Q24" s="7">
        <v>4</v>
      </c>
      <c r="R24" s="7">
        <v>5</v>
      </c>
      <c r="S24" s="7">
        <v>3</v>
      </c>
      <c r="T24" s="7">
        <v>1</v>
      </c>
      <c r="U24" s="2">
        <v>0</v>
      </c>
      <c r="V24" s="7">
        <v>4</v>
      </c>
      <c r="W24" s="2">
        <v>2</v>
      </c>
      <c r="X24" s="2">
        <v>0</v>
      </c>
      <c r="Y24" s="7">
        <v>0</v>
      </c>
      <c r="Z24" s="7">
        <v>3</v>
      </c>
      <c r="AA24" s="7">
        <v>2</v>
      </c>
      <c r="AB24" s="7">
        <v>3</v>
      </c>
      <c r="AC24" s="7">
        <v>4</v>
      </c>
      <c r="AD24" s="7">
        <v>3</v>
      </c>
      <c r="AE24" s="7">
        <v>2</v>
      </c>
      <c r="AF24" s="7">
        <v>2</v>
      </c>
    </row>
    <row r="25" spans="1:32" ht="40" customHeight="1" x14ac:dyDescent="0.3">
      <c r="A25" s="7">
        <v>22</v>
      </c>
      <c r="B25" s="7" t="s">
        <v>80</v>
      </c>
      <c r="C25" s="7">
        <v>2124657</v>
      </c>
      <c r="D25" s="7">
        <v>25</v>
      </c>
      <c r="E25" s="2">
        <v>12</v>
      </c>
      <c r="F25" s="7">
        <v>3</v>
      </c>
      <c r="G25" s="7">
        <v>1</v>
      </c>
      <c r="H25" s="7">
        <v>3</v>
      </c>
      <c r="I25" s="7">
        <v>2</v>
      </c>
      <c r="J25" s="2">
        <v>36</v>
      </c>
      <c r="K25" s="7" t="s">
        <v>47</v>
      </c>
      <c r="L25" s="7">
        <v>3</v>
      </c>
      <c r="M25" s="7" t="s">
        <v>22</v>
      </c>
      <c r="N25" s="3">
        <v>9</v>
      </c>
      <c r="O25" s="2">
        <v>0</v>
      </c>
      <c r="P25" s="2">
        <v>0</v>
      </c>
      <c r="Q25" s="2">
        <v>1</v>
      </c>
      <c r="R25" s="2">
        <v>0</v>
      </c>
      <c r="S25" s="2">
        <v>0</v>
      </c>
      <c r="T25" s="7">
        <v>2</v>
      </c>
      <c r="U25" s="2">
        <v>0</v>
      </c>
      <c r="V25" s="2">
        <v>1</v>
      </c>
      <c r="W25" s="2">
        <v>1</v>
      </c>
      <c r="X25" s="7">
        <v>0</v>
      </c>
      <c r="Y25" s="7">
        <v>0</v>
      </c>
      <c r="Z25" s="2">
        <v>0</v>
      </c>
      <c r="AA25" s="7">
        <v>2</v>
      </c>
      <c r="AB25" s="2">
        <v>0</v>
      </c>
      <c r="AC25" s="2">
        <v>0</v>
      </c>
      <c r="AD25" s="2">
        <v>1</v>
      </c>
      <c r="AE25" s="7">
        <v>2</v>
      </c>
      <c r="AF25" s="7">
        <v>4</v>
      </c>
    </row>
    <row r="26" spans="1:32" ht="40" customHeight="1" x14ac:dyDescent="0.3">
      <c r="A26" s="7">
        <v>23</v>
      </c>
      <c r="B26" s="7" t="s">
        <v>81</v>
      </c>
      <c r="C26" s="7">
        <v>2124660</v>
      </c>
      <c r="D26" s="7">
        <v>25</v>
      </c>
      <c r="E26" s="7">
        <v>12</v>
      </c>
      <c r="F26" s="7">
        <v>2</v>
      </c>
      <c r="G26" s="7">
        <v>1</v>
      </c>
      <c r="H26" s="7">
        <v>2</v>
      </c>
      <c r="I26" s="7">
        <v>2</v>
      </c>
      <c r="J26" s="7">
        <v>24</v>
      </c>
      <c r="K26" s="7" t="s">
        <v>82</v>
      </c>
      <c r="L26" s="7">
        <v>4</v>
      </c>
      <c r="M26" s="7" t="s">
        <v>49</v>
      </c>
      <c r="N26" s="3">
        <v>9</v>
      </c>
      <c r="O26" s="7">
        <v>1</v>
      </c>
      <c r="P26" s="2">
        <v>4</v>
      </c>
      <c r="Q26" s="2">
        <v>2</v>
      </c>
      <c r="R26" s="7">
        <v>3</v>
      </c>
      <c r="S26" s="2">
        <v>1</v>
      </c>
      <c r="T26" s="7">
        <v>2</v>
      </c>
      <c r="U26" s="2">
        <v>0</v>
      </c>
      <c r="V26" s="2">
        <v>0</v>
      </c>
      <c r="W26" s="7">
        <v>3</v>
      </c>
      <c r="X26" s="7">
        <v>0</v>
      </c>
      <c r="Y26" s="7">
        <v>0</v>
      </c>
      <c r="Z26" s="2">
        <v>1</v>
      </c>
      <c r="AA26" s="7">
        <v>1</v>
      </c>
      <c r="AB26" s="7">
        <v>4</v>
      </c>
      <c r="AC26" s="2">
        <v>2</v>
      </c>
      <c r="AD26" s="2">
        <v>1</v>
      </c>
      <c r="AE26" s="7">
        <v>2</v>
      </c>
      <c r="AF26" s="7">
        <v>3</v>
      </c>
    </row>
    <row r="27" spans="1:32" ht="40" customHeight="1" x14ac:dyDescent="0.3">
      <c r="A27" s="7">
        <v>24</v>
      </c>
      <c r="B27" s="7" t="s">
        <v>83</v>
      </c>
      <c r="C27" s="7">
        <v>2124663</v>
      </c>
      <c r="D27" s="7">
        <v>23</v>
      </c>
      <c r="E27" s="7">
        <v>12</v>
      </c>
      <c r="F27" s="7">
        <v>1</v>
      </c>
      <c r="G27" s="7">
        <v>1</v>
      </c>
      <c r="H27" s="7">
        <v>1</v>
      </c>
      <c r="I27" s="7">
        <v>1</v>
      </c>
      <c r="J27" s="7">
        <v>12</v>
      </c>
      <c r="K27" s="7" t="s">
        <v>62</v>
      </c>
      <c r="L27" s="7">
        <v>2</v>
      </c>
      <c r="M27" s="7" t="s">
        <v>11</v>
      </c>
      <c r="N27" s="3">
        <v>9</v>
      </c>
      <c r="O27" s="7">
        <v>1</v>
      </c>
      <c r="P27" s="2">
        <v>5</v>
      </c>
      <c r="Q27" s="7">
        <v>5</v>
      </c>
      <c r="R27" s="7">
        <v>5</v>
      </c>
      <c r="S27" s="7">
        <v>5</v>
      </c>
      <c r="T27" s="7">
        <v>1</v>
      </c>
      <c r="U27" s="7">
        <v>1</v>
      </c>
      <c r="V27" s="7">
        <v>5</v>
      </c>
      <c r="W27" s="7">
        <v>5</v>
      </c>
      <c r="X27" s="7">
        <v>0</v>
      </c>
      <c r="Y27" s="7">
        <v>0</v>
      </c>
      <c r="Z27" s="7">
        <v>5</v>
      </c>
      <c r="AA27" s="7">
        <v>1</v>
      </c>
      <c r="AB27" s="7">
        <v>5</v>
      </c>
      <c r="AC27" s="7">
        <v>5</v>
      </c>
      <c r="AD27" s="7">
        <v>5</v>
      </c>
      <c r="AE27" s="7">
        <v>0</v>
      </c>
      <c r="AF27" s="7">
        <v>1</v>
      </c>
    </row>
    <row r="28" spans="1:32" ht="40" customHeight="1" x14ac:dyDescent="0.3">
      <c r="A28" s="7">
        <v>25</v>
      </c>
      <c r="B28" s="7" t="s">
        <v>84</v>
      </c>
      <c r="C28" s="7">
        <v>2124666</v>
      </c>
      <c r="D28" s="7">
        <v>25</v>
      </c>
      <c r="E28" s="2">
        <v>12</v>
      </c>
      <c r="F28" s="7">
        <v>3</v>
      </c>
      <c r="G28" s="7">
        <v>1</v>
      </c>
      <c r="H28" s="7">
        <v>3</v>
      </c>
      <c r="I28" s="7">
        <v>2</v>
      </c>
      <c r="J28" s="2">
        <v>37</v>
      </c>
      <c r="K28" s="7" t="s">
        <v>47</v>
      </c>
      <c r="L28" s="7">
        <v>7</v>
      </c>
      <c r="M28" s="2" t="s">
        <v>22</v>
      </c>
      <c r="N28" s="2">
        <v>10</v>
      </c>
      <c r="O28" s="2">
        <v>0</v>
      </c>
      <c r="P28" s="2">
        <v>0</v>
      </c>
      <c r="Q28" s="2">
        <v>1</v>
      </c>
      <c r="R28" s="2">
        <v>2</v>
      </c>
      <c r="S28" s="2">
        <v>1</v>
      </c>
      <c r="T28" s="2">
        <v>0</v>
      </c>
      <c r="U28" s="2">
        <v>0</v>
      </c>
      <c r="V28" s="2">
        <v>1</v>
      </c>
      <c r="W28" s="2">
        <v>1</v>
      </c>
      <c r="X28" s="2">
        <v>0</v>
      </c>
      <c r="Y28" s="7">
        <v>0</v>
      </c>
      <c r="Z28" s="2">
        <v>1</v>
      </c>
      <c r="AA28" s="2">
        <v>0</v>
      </c>
      <c r="AB28" s="2">
        <v>1</v>
      </c>
      <c r="AC28" s="2">
        <v>0</v>
      </c>
      <c r="AD28" s="2">
        <v>0</v>
      </c>
      <c r="AE28" s="2">
        <v>1</v>
      </c>
      <c r="AF28" s="7">
        <v>5</v>
      </c>
    </row>
    <row r="29" spans="1:32" ht="40" customHeight="1" x14ac:dyDescent="0.3">
      <c r="A29" s="7">
        <v>26</v>
      </c>
      <c r="B29" s="7" t="s">
        <v>85</v>
      </c>
      <c r="C29" s="7">
        <v>2124669</v>
      </c>
      <c r="D29" s="7">
        <v>23</v>
      </c>
      <c r="E29" s="7">
        <v>12</v>
      </c>
      <c r="F29" s="7">
        <v>1</v>
      </c>
      <c r="G29" s="7">
        <v>1</v>
      </c>
      <c r="H29" s="7">
        <v>1</v>
      </c>
      <c r="I29" s="7">
        <v>1</v>
      </c>
      <c r="J29" s="7">
        <v>11</v>
      </c>
      <c r="K29" s="7" t="s">
        <v>62</v>
      </c>
      <c r="L29" s="7">
        <v>9</v>
      </c>
      <c r="M29" s="7" t="s">
        <v>49</v>
      </c>
      <c r="N29" s="3">
        <v>9</v>
      </c>
      <c r="O29" s="7">
        <v>2</v>
      </c>
      <c r="P29" s="7">
        <v>7</v>
      </c>
      <c r="Q29" s="2">
        <v>2</v>
      </c>
      <c r="R29" s="2">
        <v>1</v>
      </c>
      <c r="S29" s="7">
        <v>3</v>
      </c>
      <c r="T29" s="7">
        <v>2</v>
      </c>
      <c r="U29" s="2">
        <v>0</v>
      </c>
      <c r="V29" s="2">
        <v>2</v>
      </c>
      <c r="W29" s="2">
        <v>0</v>
      </c>
      <c r="X29" s="7">
        <v>0</v>
      </c>
      <c r="Y29" s="7">
        <v>0</v>
      </c>
      <c r="Z29" s="2">
        <v>1</v>
      </c>
      <c r="AA29" s="7">
        <v>2</v>
      </c>
      <c r="AB29" s="2">
        <v>2</v>
      </c>
      <c r="AC29" s="2">
        <v>2</v>
      </c>
      <c r="AD29" s="2">
        <v>1</v>
      </c>
      <c r="AE29" s="7">
        <v>2</v>
      </c>
      <c r="AF29" s="7">
        <v>3</v>
      </c>
    </row>
    <row r="30" spans="1:32" ht="40" customHeight="1" x14ac:dyDescent="0.3">
      <c r="A30" s="7">
        <v>27</v>
      </c>
      <c r="B30" s="7" t="s">
        <v>86</v>
      </c>
      <c r="C30" s="7">
        <v>2124672</v>
      </c>
      <c r="D30" s="7">
        <v>24</v>
      </c>
      <c r="E30" s="7">
        <v>12</v>
      </c>
      <c r="F30" s="7">
        <v>2</v>
      </c>
      <c r="G30" s="7">
        <v>1</v>
      </c>
      <c r="H30" s="7">
        <v>2</v>
      </c>
      <c r="I30" s="7">
        <v>1</v>
      </c>
      <c r="J30" s="7">
        <v>12</v>
      </c>
      <c r="K30" s="7" t="s">
        <v>76</v>
      </c>
      <c r="L30" s="7">
        <v>10</v>
      </c>
      <c r="M30" s="7" t="s">
        <v>11</v>
      </c>
      <c r="N30" s="3">
        <v>9</v>
      </c>
      <c r="O30" s="7">
        <v>1</v>
      </c>
      <c r="P30" s="2">
        <v>5</v>
      </c>
      <c r="Q30" s="2">
        <v>1</v>
      </c>
      <c r="R30" s="7">
        <v>3</v>
      </c>
      <c r="S30" s="2">
        <v>2</v>
      </c>
      <c r="T30" s="7">
        <v>2</v>
      </c>
      <c r="U30" s="7">
        <v>1</v>
      </c>
      <c r="V30" s="7">
        <v>4</v>
      </c>
      <c r="W30" s="7">
        <v>4</v>
      </c>
      <c r="X30" s="7">
        <v>0</v>
      </c>
      <c r="Y30" s="7">
        <v>0</v>
      </c>
      <c r="Z30" s="7">
        <v>3</v>
      </c>
      <c r="AA30" s="7">
        <v>1</v>
      </c>
      <c r="AB30" s="7">
        <v>3</v>
      </c>
      <c r="AC30" s="7">
        <v>3</v>
      </c>
      <c r="AD30" s="7">
        <v>4</v>
      </c>
      <c r="AE30" s="7">
        <v>0</v>
      </c>
      <c r="AF30" s="7">
        <v>2</v>
      </c>
    </row>
    <row r="31" spans="1:32" ht="40" customHeight="1" x14ac:dyDescent="0.3">
      <c r="A31" s="7">
        <v>28</v>
      </c>
      <c r="B31" s="7" t="s">
        <v>87</v>
      </c>
      <c r="C31" s="7">
        <v>2124675</v>
      </c>
      <c r="D31" s="7">
        <v>25</v>
      </c>
      <c r="E31" s="2">
        <v>12</v>
      </c>
      <c r="F31" s="7">
        <v>3</v>
      </c>
      <c r="G31" s="7">
        <v>1</v>
      </c>
      <c r="H31" s="7">
        <v>3</v>
      </c>
      <c r="I31" s="7">
        <v>1</v>
      </c>
      <c r="J31" s="2">
        <v>37</v>
      </c>
      <c r="K31" s="7" t="s">
        <v>12</v>
      </c>
      <c r="L31" s="7">
        <v>8</v>
      </c>
      <c r="M31" s="7" t="s">
        <v>22</v>
      </c>
      <c r="N31" s="3">
        <v>9</v>
      </c>
      <c r="O31" s="7">
        <v>1</v>
      </c>
      <c r="P31" s="2">
        <v>0</v>
      </c>
      <c r="Q31" s="2">
        <v>0</v>
      </c>
      <c r="R31" s="2">
        <v>2</v>
      </c>
      <c r="S31" s="2">
        <v>2</v>
      </c>
      <c r="T31" s="7">
        <v>2</v>
      </c>
      <c r="U31" s="2">
        <v>0</v>
      </c>
      <c r="V31" s="7">
        <v>5</v>
      </c>
      <c r="W31" s="7">
        <v>3</v>
      </c>
      <c r="X31" s="7">
        <v>0</v>
      </c>
      <c r="Y31" s="7">
        <v>0</v>
      </c>
      <c r="Z31" s="2">
        <v>0</v>
      </c>
      <c r="AA31" s="7">
        <v>2</v>
      </c>
      <c r="AB31" s="2">
        <v>1</v>
      </c>
      <c r="AC31" s="2">
        <v>1</v>
      </c>
      <c r="AD31" s="7">
        <v>4</v>
      </c>
      <c r="AE31" s="2">
        <v>1</v>
      </c>
      <c r="AF31" s="7">
        <v>4</v>
      </c>
    </row>
    <row r="32" spans="1:32" ht="40" customHeight="1" x14ac:dyDescent="0.3">
      <c r="A32" s="7">
        <v>29</v>
      </c>
      <c r="B32" s="7" t="s">
        <v>88</v>
      </c>
      <c r="C32" s="7">
        <v>2124678</v>
      </c>
      <c r="D32" s="7">
        <v>25</v>
      </c>
      <c r="E32" s="7">
        <v>12</v>
      </c>
      <c r="F32" s="7">
        <v>2</v>
      </c>
      <c r="G32" s="7">
        <v>1</v>
      </c>
      <c r="H32" s="7">
        <v>2</v>
      </c>
      <c r="I32" s="7">
        <v>2</v>
      </c>
      <c r="J32" s="7">
        <v>25</v>
      </c>
      <c r="K32" s="7" t="s">
        <v>56</v>
      </c>
      <c r="L32" s="2">
        <v>13</v>
      </c>
      <c r="M32" s="7" t="s">
        <v>11</v>
      </c>
      <c r="N32" s="3">
        <v>9</v>
      </c>
      <c r="O32" s="7">
        <v>1</v>
      </c>
      <c r="P32" s="7">
        <v>13</v>
      </c>
      <c r="Q32" s="7">
        <v>4</v>
      </c>
      <c r="R32" s="7">
        <v>3</v>
      </c>
      <c r="S32" s="7">
        <v>4</v>
      </c>
      <c r="T32" s="7">
        <v>1</v>
      </c>
      <c r="U32" s="7">
        <v>1</v>
      </c>
      <c r="V32" s="7">
        <v>3</v>
      </c>
      <c r="W32" s="7">
        <v>3</v>
      </c>
      <c r="X32" s="7">
        <v>0</v>
      </c>
      <c r="Y32" s="7">
        <v>0</v>
      </c>
      <c r="Z32" s="7">
        <v>4</v>
      </c>
      <c r="AA32" s="7">
        <v>1</v>
      </c>
      <c r="AB32" s="7">
        <v>5</v>
      </c>
      <c r="AC32" s="7">
        <v>4</v>
      </c>
      <c r="AD32" s="7">
        <v>5</v>
      </c>
      <c r="AE32" s="7">
        <v>0</v>
      </c>
      <c r="AF32" s="7">
        <v>1</v>
      </c>
    </row>
    <row r="33" spans="1:32" ht="40" customHeight="1" x14ac:dyDescent="0.3">
      <c r="A33" s="7">
        <v>30</v>
      </c>
      <c r="B33" s="7" t="s">
        <v>89</v>
      </c>
      <c r="C33" s="7">
        <v>2124681</v>
      </c>
      <c r="D33" s="7">
        <v>23</v>
      </c>
      <c r="E33" s="7">
        <v>12</v>
      </c>
      <c r="F33" s="7">
        <v>1</v>
      </c>
      <c r="G33" s="7">
        <v>1</v>
      </c>
      <c r="H33" s="7">
        <v>1</v>
      </c>
      <c r="I33" s="7">
        <v>1</v>
      </c>
      <c r="J33" s="7">
        <v>11</v>
      </c>
      <c r="K33" s="7" t="s">
        <v>62</v>
      </c>
      <c r="L33" s="7">
        <v>1</v>
      </c>
      <c r="M33" s="7" t="s">
        <v>11</v>
      </c>
      <c r="N33" s="3">
        <v>9</v>
      </c>
      <c r="O33" s="7">
        <v>1</v>
      </c>
      <c r="P33" s="2">
        <v>5</v>
      </c>
      <c r="Q33" s="7">
        <v>5</v>
      </c>
      <c r="R33" s="7">
        <v>4</v>
      </c>
      <c r="S33" s="7">
        <v>4</v>
      </c>
      <c r="T33" s="7">
        <v>1</v>
      </c>
      <c r="U33" s="2">
        <v>0</v>
      </c>
      <c r="V33" s="7">
        <v>3</v>
      </c>
      <c r="W33" s="7">
        <v>4</v>
      </c>
      <c r="X33" s="7">
        <v>0</v>
      </c>
      <c r="Y33" s="7">
        <v>0</v>
      </c>
      <c r="Z33" s="7">
        <v>4</v>
      </c>
      <c r="AA33" s="7">
        <v>1</v>
      </c>
      <c r="AB33" s="7">
        <v>4</v>
      </c>
      <c r="AC33" s="7">
        <v>4</v>
      </c>
      <c r="AD33" s="7">
        <v>4</v>
      </c>
      <c r="AE33" s="7">
        <v>0</v>
      </c>
      <c r="AF33" s="7">
        <v>1</v>
      </c>
    </row>
    <row r="34" spans="1:32" ht="40" customHeight="1" x14ac:dyDescent="0.3">
      <c r="A34" s="7">
        <v>31</v>
      </c>
      <c r="B34" s="7" t="s">
        <v>90</v>
      </c>
      <c r="C34" s="7">
        <v>2124684</v>
      </c>
      <c r="D34" s="7">
        <v>27</v>
      </c>
      <c r="E34" s="7">
        <v>11</v>
      </c>
      <c r="F34" s="7">
        <v>5</v>
      </c>
      <c r="G34" s="7">
        <v>2</v>
      </c>
      <c r="H34" s="7">
        <v>1</v>
      </c>
      <c r="I34" s="7">
        <v>1</v>
      </c>
      <c r="J34" s="7">
        <v>13</v>
      </c>
      <c r="K34" s="7" t="s">
        <v>62</v>
      </c>
      <c r="L34" s="7">
        <v>3</v>
      </c>
      <c r="M34" s="7" t="s">
        <v>11</v>
      </c>
      <c r="N34" s="2">
        <v>10</v>
      </c>
      <c r="O34" s="7">
        <v>1</v>
      </c>
      <c r="P34" s="2">
        <v>4</v>
      </c>
      <c r="Q34" s="2">
        <v>2</v>
      </c>
      <c r="R34" s="7">
        <v>5</v>
      </c>
      <c r="S34" s="7">
        <v>3</v>
      </c>
      <c r="T34" s="7">
        <v>2</v>
      </c>
      <c r="U34" s="2">
        <v>0</v>
      </c>
      <c r="V34" s="7">
        <v>4</v>
      </c>
      <c r="W34" s="7">
        <v>4</v>
      </c>
      <c r="X34" s="2">
        <v>0</v>
      </c>
      <c r="Y34" s="7">
        <v>0</v>
      </c>
      <c r="Z34" s="7">
        <v>5</v>
      </c>
      <c r="AA34" s="7">
        <v>2</v>
      </c>
      <c r="AB34" s="7">
        <v>4</v>
      </c>
      <c r="AC34" s="7">
        <v>5</v>
      </c>
      <c r="AD34" s="7">
        <v>5</v>
      </c>
      <c r="AE34" s="7">
        <v>0</v>
      </c>
      <c r="AF34" s="7">
        <v>2</v>
      </c>
    </row>
    <row r="35" spans="1:32" ht="40" customHeight="1" x14ac:dyDescent="0.3">
      <c r="A35" s="7">
        <v>32</v>
      </c>
      <c r="B35" s="7" t="s">
        <v>91</v>
      </c>
      <c r="C35" s="7">
        <v>2124687</v>
      </c>
      <c r="D35" s="7">
        <v>27</v>
      </c>
      <c r="E35" s="7">
        <v>11</v>
      </c>
      <c r="F35" s="7">
        <v>5</v>
      </c>
      <c r="G35" s="7">
        <v>2</v>
      </c>
      <c r="H35" s="7">
        <v>2</v>
      </c>
      <c r="I35" s="7">
        <v>2</v>
      </c>
      <c r="J35" s="7">
        <v>24</v>
      </c>
      <c r="K35" s="7" t="s">
        <v>62</v>
      </c>
      <c r="L35" s="7">
        <v>5</v>
      </c>
      <c r="M35" s="7" t="s">
        <v>11</v>
      </c>
      <c r="N35" s="3">
        <v>9</v>
      </c>
      <c r="O35" s="2">
        <v>0</v>
      </c>
      <c r="P35" s="2">
        <v>0</v>
      </c>
      <c r="Q35" s="2">
        <v>0</v>
      </c>
      <c r="R35" s="2">
        <v>1</v>
      </c>
      <c r="S35" s="2">
        <v>1</v>
      </c>
      <c r="T35" s="7">
        <v>2</v>
      </c>
      <c r="U35" s="2">
        <v>0</v>
      </c>
      <c r="V35" s="7">
        <v>5</v>
      </c>
      <c r="W35" s="2">
        <v>1</v>
      </c>
      <c r="X35" s="7">
        <v>0</v>
      </c>
      <c r="Y35" s="7">
        <v>0</v>
      </c>
      <c r="Z35" s="7">
        <v>3</v>
      </c>
      <c r="AA35" s="7">
        <v>2</v>
      </c>
      <c r="AB35" s="2">
        <v>2</v>
      </c>
      <c r="AC35" s="2">
        <v>1</v>
      </c>
      <c r="AD35" s="7">
        <v>4</v>
      </c>
      <c r="AE35" s="7">
        <v>2</v>
      </c>
      <c r="AF35" s="7">
        <v>3</v>
      </c>
    </row>
    <row r="36" spans="1:32" ht="40" customHeight="1" x14ac:dyDescent="0.3">
      <c r="A36" s="7">
        <v>33</v>
      </c>
      <c r="B36" s="7" t="s">
        <v>68</v>
      </c>
      <c r="C36" s="7">
        <v>2124690</v>
      </c>
      <c r="D36" s="7">
        <v>27</v>
      </c>
      <c r="E36" s="7">
        <v>11</v>
      </c>
      <c r="F36" s="7">
        <v>5</v>
      </c>
      <c r="G36" s="7">
        <v>2</v>
      </c>
      <c r="H36" s="7">
        <v>1</v>
      </c>
      <c r="I36" s="7">
        <v>1</v>
      </c>
      <c r="J36" s="7">
        <v>13</v>
      </c>
      <c r="K36" s="7" t="s">
        <v>12</v>
      </c>
      <c r="L36" s="7">
        <v>8</v>
      </c>
      <c r="M36" s="7" t="s">
        <v>11</v>
      </c>
      <c r="N36" s="3">
        <v>9</v>
      </c>
      <c r="O36" s="7">
        <v>2</v>
      </c>
      <c r="P36" s="7">
        <v>14</v>
      </c>
      <c r="Q36" s="7">
        <v>3</v>
      </c>
      <c r="R36" s="7">
        <v>4</v>
      </c>
      <c r="S36" s="7">
        <v>3</v>
      </c>
      <c r="T36" s="7">
        <v>2</v>
      </c>
      <c r="U36" s="2">
        <v>0</v>
      </c>
      <c r="V36" s="7">
        <v>4</v>
      </c>
      <c r="W36" s="7">
        <v>3</v>
      </c>
      <c r="X36" s="7">
        <v>0</v>
      </c>
      <c r="Y36" s="7">
        <v>0</v>
      </c>
      <c r="Z36" s="7">
        <v>4</v>
      </c>
      <c r="AA36" s="7">
        <v>2</v>
      </c>
      <c r="AB36" s="7">
        <v>4</v>
      </c>
      <c r="AC36" s="7">
        <v>4</v>
      </c>
      <c r="AD36" s="7">
        <v>4</v>
      </c>
      <c r="AE36" s="7">
        <v>0</v>
      </c>
      <c r="AF36" s="7">
        <v>1</v>
      </c>
    </row>
    <row r="37" spans="1:32" ht="40" customHeight="1" x14ac:dyDescent="0.3">
      <c r="A37" s="7">
        <v>34</v>
      </c>
      <c r="B37" s="7" t="s">
        <v>92</v>
      </c>
      <c r="C37" s="7">
        <v>2124693</v>
      </c>
      <c r="D37" s="7">
        <v>30</v>
      </c>
      <c r="E37" s="7">
        <v>11</v>
      </c>
      <c r="F37" s="7">
        <v>8</v>
      </c>
      <c r="G37" s="7">
        <v>2</v>
      </c>
      <c r="H37" s="7">
        <v>3</v>
      </c>
      <c r="I37" s="7">
        <v>3</v>
      </c>
      <c r="J37" s="7">
        <v>15</v>
      </c>
      <c r="K37" s="7" t="s">
        <v>12</v>
      </c>
      <c r="L37" s="2">
        <v>20</v>
      </c>
      <c r="M37" s="2" t="s">
        <v>22</v>
      </c>
      <c r="N37" s="2">
        <v>11</v>
      </c>
      <c r="O37" s="7">
        <v>1</v>
      </c>
      <c r="P37" s="2">
        <v>3</v>
      </c>
      <c r="Q37" s="7">
        <v>5</v>
      </c>
      <c r="R37" s="7">
        <v>4</v>
      </c>
      <c r="S37" s="2">
        <v>2</v>
      </c>
      <c r="T37" s="7">
        <v>2</v>
      </c>
      <c r="U37" s="2">
        <v>0</v>
      </c>
      <c r="V37" s="7">
        <v>5</v>
      </c>
      <c r="W37" s="7">
        <v>4</v>
      </c>
      <c r="X37" s="2">
        <v>0</v>
      </c>
      <c r="Y37" s="2">
        <v>0</v>
      </c>
      <c r="Z37" s="7">
        <v>3</v>
      </c>
      <c r="AA37" s="7">
        <v>2</v>
      </c>
      <c r="AB37" s="7">
        <v>4</v>
      </c>
      <c r="AC37" s="2">
        <v>1</v>
      </c>
      <c r="AD37" s="2">
        <v>0</v>
      </c>
      <c r="AE37" s="2">
        <v>1</v>
      </c>
      <c r="AF37" s="7">
        <v>4</v>
      </c>
    </row>
    <row r="38" spans="1:32" ht="40" customHeight="1" x14ac:dyDescent="0.3">
      <c r="A38" s="7">
        <v>35</v>
      </c>
      <c r="B38" s="7" t="s">
        <v>93</v>
      </c>
      <c r="C38" s="7">
        <v>2124696</v>
      </c>
      <c r="D38" s="7">
        <v>25</v>
      </c>
      <c r="E38" s="7">
        <v>11</v>
      </c>
      <c r="F38" s="7">
        <v>3</v>
      </c>
      <c r="G38" s="7">
        <v>1</v>
      </c>
      <c r="H38" s="7">
        <v>3</v>
      </c>
      <c r="I38" s="7">
        <v>3</v>
      </c>
      <c r="J38" s="7">
        <v>10</v>
      </c>
      <c r="K38" s="7" t="s">
        <v>12</v>
      </c>
      <c r="L38" s="2">
        <v>13</v>
      </c>
      <c r="M38" s="2" t="s">
        <v>22</v>
      </c>
      <c r="N38" s="2">
        <v>10</v>
      </c>
      <c r="O38" s="7">
        <v>1</v>
      </c>
      <c r="P38" s="2">
        <v>0</v>
      </c>
      <c r="Q38" s="7">
        <v>4</v>
      </c>
      <c r="R38" s="7">
        <v>5</v>
      </c>
      <c r="S38" s="7">
        <v>5</v>
      </c>
      <c r="T38" s="7">
        <v>2</v>
      </c>
      <c r="U38" s="7">
        <v>1</v>
      </c>
      <c r="V38" s="7">
        <v>5</v>
      </c>
      <c r="W38" s="7">
        <v>3</v>
      </c>
      <c r="X38" s="2">
        <v>0</v>
      </c>
      <c r="Y38" s="2">
        <v>0</v>
      </c>
      <c r="Z38" s="2">
        <v>2</v>
      </c>
      <c r="AA38" s="7">
        <v>1</v>
      </c>
      <c r="AB38" s="2">
        <v>2</v>
      </c>
      <c r="AC38" s="2">
        <v>1</v>
      </c>
      <c r="AD38" s="2">
        <v>1</v>
      </c>
      <c r="AE38" s="2">
        <v>1</v>
      </c>
      <c r="AF38" s="7">
        <v>4</v>
      </c>
    </row>
    <row r="39" spans="1:32" ht="40" customHeight="1" x14ac:dyDescent="0.3">
      <c r="A39" s="7">
        <v>36</v>
      </c>
      <c r="B39" s="7" t="s">
        <v>94</v>
      </c>
      <c r="C39" s="7">
        <v>2124699</v>
      </c>
      <c r="D39" s="7">
        <v>25</v>
      </c>
      <c r="E39" s="7">
        <v>11</v>
      </c>
      <c r="F39" s="7">
        <v>2</v>
      </c>
      <c r="G39" s="7">
        <v>1</v>
      </c>
      <c r="H39" s="7">
        <v>3</v>
      </c>
      <c r="I39" s="7">
        <v>3</v>
      </c>
      <c r="J39" s="7">
        <v>10</v>
      </c>
      <c r="K39" s="7" t="s">
        <v>47</v>
      </c>
      <c r="L39" s="7">
        <v>10</v>
      </c>
      <c r="M39" s="2" t="s">
        <v>22</v>
      </c>
      <c r="N39" s="2">
        <v>10</v>
      </c>
      <c r="O39" s="7">
        <v>1</v>
      </c>
      <c r="P39" s="7">
        <v>6</v>
      </c>
      <c r="Q39" s="7">
        <v>5</v>
      </c>
      <c r="R39" s="7">
        <v>5</v>
      </c>
      <c r="S39" s="7">
        <v>5</v>
      </c>
      <c r="T39" s="2">
        <v>0</v>
      </c>
      <c r="U39" s="2">
        <v>0</v>
      </c>
      <c r="V39" s="7">
        <v>4</v>
      </c>
      <c r="W39" s="2">
        <v>1</v>
      </c>
      <c r="X39" s="2">
        <v>0</v>
      </c>
      <c r="Y39" s="2">
        <v>0</v>
      </c>
      <c r="Z39" s="2">
        <v>1</v>
      </c>
      <c r="AA39" s="2">
        <v>0</v>
      </c>
      <c r="AB39" s="2">
        <v>1</v>
      </c>
      <c r="AC39" s="2">
        <v>0</v>
      </c>
      <c r="AD39" s="2">
        <v>1</v>
      </c>
      <c r="AE39" s="2">
        <v>1</v>
      </c>
      <c r="AF39" s="7">
        <v>4</v>
      </c>
    </row>
    <row r="40" spans="1:32" ht="40" customHeight="1" x14ac:dyDescent="0.3">
      <c r="A40" s="7">
        <v>37</v>
      </c>
      <c r="B40" s="7" t="s">
        <v>95</v>
      </c>
      <c r="C40" s="7">
        <v>2124702</v>
      </c>
      <c r="D40" s="7">
        <v>27</v>
      </c>
      <c r="E40" s="7">
        <v>11</v>
      </c>
      <c r="F40" s="7">
        <v>5</v>
      </c>
      <c r="G40" s="7">
        <v>1</v>
      </c>
      <c r="H40" s="7">
        <v>5</v>
      </c>
      <c r="I40" s="7">
        <v>1</v>
      </c>
      <c r="J40" s="7">
        <v>18</v>
      </c>
      <c r="K40" s="7" t="s">
        <v>12</v>
      </c>
      <c r="L40" s="7">
        <v>1</v>
      </c>
      <c r="M40" s="7" t="s">
        <v>11</v>
      </c>
      <c r="N40" s="3">
        <v>9</v>
      </c>
      <c r="O40" s="7">
        <v>1</v>
      </c>
      <c r="P40" s="2">
        <v>0</v>
      </c>
      <c r="Q40" s="7">
        <v>5</v>
      </c>
      <c r="R40" s="7">
        <v>4</v>
      </c>
      <c r="S40" s="7">
        <v>5</v>
      </c>
      <c r="T40" s="7">
        <v>1</v>
      </c>
      <c r="U40" s="7">
        <v>4</v>
      </c>
      <c r="V40" s="7">
        <v>4</v>
      </c>
      <c r="W40" s="7">
        <v>5</v>
      </c>
      <c r="X40" s="7">
        <v>0</v>
      </c>
      <c r="Y40" s="7">
        <v>0</v>
      </c>
      <c r="Z40" s="7">
        <v>3</v>
      </c>
      <c r="AA40" s="7">
        <v>1</v>
      </c>
      <c r="AB40" s="7">
        <v>3</v>
      </c>
      <c r="AC40" s="7">
        <v>3</v>
      </c>
      <c r="AD40" s="7">
        <v>5</v>
      </c>
      <c r="AE40" s="7">
        <v>0</v>
      </c>
      <c r="AF40" s="7">
        <v>1</v>
      </c>
    </row>
    <row r="41" spans="1:32" ht="40" customHeight="1" x14ac:dyDescent="0.3">
      <c r="A41" s="7">
        <v>38</v>
      </c>
      <c r="B41" s="7" t="s">
        <v>96</v>
      </c>
      <c r="C41" s="7">
        <v>2124705</v>
      </c>
      <c r="D41" s="7">
        <v>26</v>
      </c>
      <c r="E41" s="7">
        <v>10</v>
      </c>
      <c r="F41" s="7">
        <v>4</v>
      </c>
      <c r="G41" s="7">
        <v>1</v>
      </c>
      <c r="H41" s="7">
        <v>4</v>
      </c>
      <c r="I41" s="7">
        <v>4</v>
      </c>
      <c r="J41" s="7">
        <v>11</v>
      </c>
      <c r="K41" s="7" t="s">
        <v>73</v>
      </c>
      <c r="L41" s="7">
        <v>9</v>
      </c>
      <c r="M41" s="7" t="s">
        <v>22</v>
      </c>
      <c r="N41" s="3">
        <v>9</v>
      </c>
      <c r="O41" s="7">
        <v>1</v>
      </c>
      <c r="P41" s="2">
        <v>0</v>
      </c>
      <c r="Q41" s="7">
        <v>5</v>
      </c>
      <c r="R41" s="7">
        <v>4</v>
      </c>
      <c r="S41" s="7">
        <v>4</v>
      </c>
      <c r="T41" s="2">
        <v>0</v>
      </c>
      <c r="U41" s="2">
        <v>0</v>
      </c>
      <c r="V41" s="7">
        <v>5</v>
      </c>
      <c r="W41" s="7">
        <v>4</v>
      </c>
      <c r="X41" s="7">
        <v>0</v>
      </c>
      <c r="Y41" s="2">
        <v>0</v>
      </c>
      <c r="Z41" s="7">
        <v>3</v>
      </c>
      <c r="AA41" s="7">
        <v>2</v>
      </c>
      <c r="AB41" s="7">
        <v>4</v>
      </c>
      <c r="AC41" s="2">
        <v>2</v>
      </c>
      <c r="AD41" s="2">
        <v>1</v>
      </c>
      <c r="AE41" s="2">
        <v>1</v>
      </c>
      <c r="AF41" s="7">
        <v>3</v>
      </c>
    </row>
    <row r="42" spans="1:32" ht="40" customHeight="1" x14ac:dyDescent="0.3">
      <c r="A42" s="7">
        <v>39</v>
      </c>
      <c r="B42" s="7" t="s">
        <v>97</v>
      </c>
      <c r="C42" s="7">
        <v>2124708</v>
      </c>
      <c r="D42" s="7">
        <v>27</v>
      </c>
      <c r="E42" s="7">
        <v>10</v>
      </c>
      <c r="F42" s="7">
        <v>5</v>
      </c>
      <c r="G42" s="7">
        <v>1</v>
      </c>
      <c r="H42" s="7">
        <v>5</v>
      </c>
      <c r="I42" s="7">
        <v>5</v>
      </c>
      <c r="J42" s="7">
        <v>22</v>
      </c>
      <c r="K42" s="7" t="s">
        <v>62</v>
      </c>
      <c r="L42" s="7">
        <v>2</v>
      </c>
      <c r="M42" s="7" t="s">
        <v>11</v>
      </c>
      <c r="N42" s="2">
        <v>12</v>
      </c>
      <c r="O42" s="7">
        <v>1</v>
      </c>
      <c r="P42" s="7">
        <v>8</v>
      </c>
      <c r="Q42" s="7">
        <v>4</v>
      </c>
      <c r="R42" s="7">
        <v>5</v>
      </c>
      <c r="S42" s="7">
        <v>4</v>
      </c>
      <c r="T42" s="7">
        <v>1</v>
      </c>
      <c r="U42" s="7">
        <v>1</v>
      </c>
      <c r="V42" s="7">
        <v>3</v>
      </c>
      <c r="W42" s="7">
        <v>4</v>
      </c>
      <c r="X42" s="2">
        <v>0</v>
      </c>
      <c r="Y42" s="2">
        <v>0</v>
      </c>
      <c r="Z42" s="7">
        <v>3</v>
      </c>
      <c r="AA42" s="7">
        <v>1</v>
      </c>
      <c r="AB42" s="7">
        <v>5</v>
      </c>
      <c r="AC42" s="7">
        <v>4</v>
      </c>
      <c r="AD42" s="7">
        <v>3</v>
      </c>
      <c r="AE42" s="7">
        <v>2</v>
      </c>
      <c r="AF42" s="7">
        <v>2</v>
      </c>
    </row>
    <row r="43" spans="1:32" ht="40" customHeight="1" x14ac:dyDescent="0.3">
      <c r="A43" s="7">
        <v>40</v>
      </c>
      <c r="B43" s="7" t="s">
        <v>98</v>
      </c>
      <c r="C43" s="7">
        <v>2124711</v>
      </c>
      <c r="D43" s="7">
        <v>26</v>
      </c>
      <c r="E43" s="2">
        <v>11</v>
      </c>
      <c r="F43" s="7">
        <v>5</v>
      </c>
      <c r="G43" s="7">
        <v>1</v>
      </c>
      <c r="H43" s="7">
        <v>5</v>
      </c>
      <c r="I43" s="7">
        <v>1</v>
      </c>
      <c r="J43" s="2">
        <v>39</v>
      </c>
      <c r="K43" s="7" t="s">
        <v>56</v>
      </c>
      <c r="L43" s="7">
        <v>1</v>
      </c>
      <c r="M43" s="7" t="s">
        <v>11</v>
      </c>
      <c r="N43" s="3">
        <v>9</v>
      </c>
      <c r="O43" s="7">
        <v>1</v>
      </c>
      <c r="P43" s="2">
        <v>0</v>
      </c>
      <c r="Q43" s="2">
        <v>0</v>
      </c>
      <c r="R43" s="7">
        <v>3</v>
      </c>
      <c r="S43" s="7">
        <v>5</v>
      </c>
      <c r="T43" s="7">
        <v>1</v>
      </c>
      <c r="U43" s="2">
        <v>0</v>
      </c>
      <c r="V43" s="7">
        <v>5</v>
      </c>
      <c r="W43" s="7">
        <v>5</v>
      </c>
      <c r="X43" s="7">
        <v>0</v>
      </c>
      <c r="Y43" s="7">
        <v>0</v>
      </c>
      <c r="Z43" s="2">
        <v>0</v>
      </c>
      <c r="AA43" s="7">
        <v>1</v>
      </c>
      <c r="AB43" s="7">
        <v>5</v>
      </c>
      <c r="AC43" s="2">
        <v>0</v>
      </c>
      <c r="AD43" s="7">
        <v>5</v>
      </c>
      <c r="AE43" s="2">
        <v>1</v>
      </c>
      <c r="AF43" s="7">
        <v>3</v>
      </c>
    </row>
    <row r="44" spans="1:32" ht="40" customHeight="1" x14ac:dyDescent="0.3">
      <c r="A44" s="7">
        <v>41</v>
      </c>
      <c r="B44" s="7" t="s">
        <v>99</v>
      </c>
      <c r="C44" s="7">
        <v>2124714</v>
      </c>
      <c r="D44" s="7">
        <v>27</v>
      </c>
      <c r="E44" s="7">
        <v>10</v>
      </c>
      <c r="F44" s="7">
        <v>5</v>
      </c>
      <c r="G44" s="2">
        <v>3</v>
      </c>
      <c r="H44" s="7">
        <v>0</v>
      </c>
      <c r="I44" s="7">
        <v>0</v>
      </c>
      <c r="J44" s="7">
        <v>2</v>
      </c>
      <c r="K44" s="7" t="s">
        <v>56</v>
      </c>
      <c r="L44" s="7">
        <v>1</v>
      </c>
      <c r="M44" s="7" t="s">
        <v>11</v>
      </c>
      <c r="N44" s="3">
        <v>9</v>
      </c>
      <c r="O44" s="7">
        <v>1</v>
      </c>
      <c r="P44" s="2">
        <v>5</v>
      </c>
      <c r="Q44" s="2">
        <v>2</v>
      </c>
      <c r="R44" s="7">
        <v>4</v>
      </c>
      <c r="S44" s="7">
        <v>3</v>
      </c>
      <c r="T44" s="7">
        <v>1</v>
      </c>
      <c r="U44" s="2">
        <v>0</v>
      </c>
      <c r="V44" s="7">
        <v>5</v>
      </c>
      <c r="W44" s="7">
        <v>4</v>
      </c>
      <c r="X44" s="7">
        <v>0</v>
      </c>
      <c r="Y44" s="7">
        <v>0</v>
      </c>
      <c r="Z44" s="7">
        <v>5</v>
      </c>
      <c r="AA44" s="7">
        <v>1</v>
      </c>
      <c r="AB44" s="7">
        <v>4</v>
      </c>
      <c r="AC44" s="7">
        <v>5</v>
      </c>
      <c r="AD44" s="7">
        <v>5</v>
      </c>
      <c r="AE44" s="7">
        <v>0</v>
      </c>
      <c r="AF44" s="7">
        <v>2</v>
      </c>
    </row>
    <row r="45" spans="1:32" ht="40" customHeight="1" x14ac:dyDescent="0.3">
      <c r="A45" s="7">
        <v>42</v>
      </c>
      <c r="B45" s="7" t="s">
        <v>101</v>
      </c>
      <c r="C45" s="7">
        <v>2124717</v>
      </c>
      <c r="D45" s="7">
        <v>29</v>
      </c>
      <c r="E45" s="7">
        <v>9</v>
      </c>
      <c r="F45" s="7">
        <v>7</v>
      </c>
      <c r="G45" s="7">
        <v>1</v>
      </c>
      <c r="H45" s="7">
        <v>7</v>
      </c>
      <c r="I45" s="7">
        <v>7</v>
      </c>
      <c r="J45" s="7">
        <v>22</v>
      </c>
      <c r="K45" s="7" t="s">
        <v>103</v>
      </c>
      <c r="L45" s="7">
        <v>7</v>
      </c>
      <c r="M45" s="2" t="s">
        <v>22</v>
      </c>
      <c r="N45" s="2">
        <v>11</v>
      </c>
      <c r="O45" s="2">
        <v>0</v>
      </c>
      <c r="P45" s="2">
        <v>0</v>
      </c>
      <c r="Q45" s="7">
        <v>5</v>
      </c>
      <c r="R45" s="7">
        <v>4</v>
      </c>
      <c r="S45" s="7">
        <v>5</v>
      </c>
      <c r="T45" s="7">
        <v>1</v>
      </c>
      <c r="U45" s="2">
        <v>0</v>
      </c>
      <c r="V45" s="7">
        <v>3</v>
      </c>
      <c r="W45" s="2">
        <v>0</v>
      </c>
      <c r="X45" s="2">
        <v>0</v>
      </c>
      <c r="Y45" s="2">
        <v>0</v>
      </c>
      <c r="Z45" s="2">
        <v>2</v>
      </c>
      <c r="AA45" s="2">
        <v>0</v>
      </c>
      <c r="AB45" s="7">
        <v>4</v>
      </c>
      <c r="AC45" s="2">
        <v>1</v>
      </c>
      <c r="AD45" s="2">
        <v>2</v>
      </c>
      <c r="AE45" s="2">
        <v>1</v>
      </c>
      <c r="AF45" s="7">
        <v>4</v>
      </c>
    </row>
    <row r="46" spans="1:32" ht="40" customHeight="1" x14ac:dyDescent="0.3">
      <c r="A46" s="7">
        <v>43</v>
      </c>
      <c r="B46" s="7" t="s">
        <v>102</v>
      </c>
      <c r="C46" s="7">
        <v>2124720</v>
      </c>
      <c r="D46" s="7">
        <v>24</v>
      </c>
      <c r="E46" s="7">
        <v>11</v>
      </c>
      <c r="F46" s="7">
        <v>3</v>
      </c>
      <c r="G46" s="7">
        <v>1</v>
      </c>
      <c r="H46" s="7">
        <v>3</v>
      </c>
      <c r="I46" s="7">
        <v>1</v>
      </c>
      <c r="J46" s="7">
        <v>3</v>
      </c>
      <c r="K46" s="7" t="s">
        <v>51</v>
      </c>
      <c r="L46" s="2">
        <v>20</v>
      </c>
      <c r="M46" s="2" t="s">
        <v>22</v>
      </c>
      <c r="N46" s="2">
        <v>11</v>
      </c>
      <c r="O46" s="2">
        <v>0</v>
      </c>
      <c r="P46" s="2">
        <v>1</v>
      </c>
      <c r="Q46" s="7">
        <v>3</v>
      </c>
      <c r="R46" s="7">
        <v>5</v>
      </c>
      <c r="S46" s="7">
        <v>3</v>
      </c>
      <c r="T46" s="7">
        <v>2</v>
      </c>
      <c r="U46" s="2">
        <v>0</v>
      </c>
      <c r="V46" s="7">
        <v>4</v>
      </c>
      <c r="W46" s="7">
        <v>4</v>
      </c>
      <c r="X46" s="2">
        <v>0</v>
      </c>
      <c r="Y46" s="7">
        <v>0</v>
      </c>
      <c r="Z46" s="7">
        <v>4</v>
      </c>
      <c r="AA46" s="7">
        <v>1</v>
      </c>
      <c r="AB46" s="7">
        <v>5</v>
      </c>
      <c r="AC46" s="7">
        <v>4</v>
      </c>
      <c r="AD46" s="7">
        <v>3</v>
      </c>
      <c r="AE46" s="7">
        <v>2</v>
      </c>
      <c r="AF46" s="7">
        <v>3</v>
      </c>
    </row>
    <row r="47" spans="1:32" ht="40" customHeight="1" x14ac:dyDescent="0.3">
      <c r="A47" s="7">
        <v>44</v>
      </c>
      <c r="B47" s="7" t="s">
        <v>105</v>
      </c>
      <c r="C47" s="7">
        <v>2124723</v>
      </c>
      <c r="D47" s="7">
        <v>28</v>
      </c>
      <c r="E47" s="7">
        <v>10</v>
      </c>
      <c r="F47" s="7">
        <v>5</v>
      </c>
      <c r="G47" s="7">
        <v>1</v>
      </c>
      <c r="H47" s="7">
        <v>5</v>
      </c>
      <c r="I47" s="7">
        <v>1</v>
      </c>
      <c r="J47" s="7">
        <v>28</v>
      </c>
      <c r="K47" s="7" t="s">
        <v>51</v>
      </c>
      <c r="L47" s="7">
        <v>10</v>
      </c>
      <c r="M47" s="7" t="s">
        <v>11</v>
      </c>
      <c r="N47" s="3">
        <v>9</v>
      </c>
      <c r="O47" s="7">
        <v>1</v>
      </c>
      <c r="P47" s="2">
        <v>2</v>
      </c>
      <c r="Q47" s="7">
        <v>4</v>
      </c>
      <c r="R47" s="7">
        <v>5</v>
      </c>
      <c r="S47" s="7">
        <v>4</v>
      </c>
      <c r="T47" s="7">
        <v>3</v>
      </c>
      <c r="U47" s="7">
        <v>1</v>
      </c>
      <c r="V47" s="7">
        <v>5</v>
      </c>
      <c r="W47" s="7">
        <v>5</v>
      </c>
      <c r="X47" s="7">
        <v>0</v>
      </c>
      <c r="Y47" s="7">
        <v>0</v>
      </c>
      <c r="Z47" s="7">
        <v>4</v>
      </c>
      <c r="AA47" s="7">
        <v>1</v>
      </c>
      <c r="AB47" s="7">
        <v>5</v>
      </c>
      <c r="AC47" s="7">
        <v>5</v>
      </c>
      <c r="AD47" s="7">
        <v>3</v>
      </c>
      <c r="AE47" s="7">
        <v>2</v>
      </c>
      <c r="AF47" s="7">
        <v>1</v>
      </c>
    </row>
    <row r="48" spans="1:32" ht="40" customHeight="1" x14ac:dyDescent="0.3">
      <c r="A48" s="7">
        <v>45</v>
      </c>
      <c r="B48" s="7" t="s">
        <v>106</v>
      </c>
      <c r="C48" s="7">
        <v>2124726</v>
      </c>
      <c r="D48" s="7">
        <v>26</v>
      </c>
      <c r="E48" s="7">
        <v>10</v>
      </c>
      <c r="F48" s="7">
        <v>4</v>
      </c>
      <c r="G48" s="7">
        <v>1</v>
      </c>
      <c r="H48" s="7">
        <v>4</v>
      </c>
      <c r="I48" s="7">
        <v>3</v>
      </c>
      <c r="J48" s="7">
        <v>4</v>
      </c>
      <c r="K48" s="7" t="s">
        <v>47</v>
      </c>
      <c r="L48" s="2">
        <v>15</v>
      </c>
      <c r="M48" s="2" t="s">
        <v>49</v>
      </c>
      <c r="N48" s="2">
        <v>11</v>
      </c>
      <c r="O48" s="2">
        <v>0</v>
      </c>
      <c r="P48" s="2">
        <v>3</v>
      </c>
      <c r="Q48" s="7">
        <v>5</v>
      </c>
      <c r="R48" s="7">
        <v>5</v>
      </c>
      <c r="S48" s="7">
        <v>5</v>
      </c>
      <c r="T48" s="7">
        <v>1</v>
      </c>
      <c r="U48" s="2">
        <v>0</v>
      </c>
      <c r="V48" s="7">
        <v>5</v>
      </c>
      <c r="W48" s="7">
        <v>5</v>
      </c>
      <c r="X48" s="2">
        <v>0</v>
      </c>
      <c r="Y48" s="2">
        <v>0</v>
      </c>
      <c r="Z48" s="7">
        <v>5</v>
      </c>
      <c r="AA48" s="7">
        <v>1</v>
      </c>
      <c r="AB48" s="7">
        <v>5</v>
      </c>
      <c r="AC48" s="2">
        <v>2</v>
      </c>
      <c r="AD48" s="2">
        <v>1</v>
      </c>
      <c r="AE48" s="2">
        <v>1</v>
      </c>
      <c r="AF48" s="7">
        <v>4</v>
      </c>
    </row>
    <row r="49" spans="1:32" ht="40" customHeight="1" x14ac:dyDescent="0.3">
      <c r="A49" s="7">
        <v>46</v>
      </c>
      <c r="B49" s="7" t="s">
        <v>107</v>
      </c>
      <c r="C49" s="7">
        <v>2124729</v>
      </c>
      <c r="D49" s="7">
        <v>29</v>
      </c>
      <c r="E49" s="7">
        <v>9</v>
      </c>
      <c r="F49" s="7">
        <v>7</v>
      </c>
      <c r="G49" s="7">
        <v>1</v>
      </c>
      <c r="H49" s="7">
        <v>7</v>
      </c>
      <c r="I49" s="7">
        <v>6</v>
      </c>
      <c r="J49" s="7">
        <v>18</v>
      </c>
      <c r="K49" s="7" t="s">
        <v>51</v>
      </c>
      <c r="L49" s="7">
        <v>10</v>
      </c>
      <c r="M49" s="2" t="s">
        <v>22</v>
      </c>
      <c r="N49" s="2">
        <v>11</v>
      </c>
      <c r="O49" s="7">
        <v>2</v>
      </c>
      <c r="P49" s="2">
        <v>5</v>
      </c>
      <c r="Q49" s="7">
        <v>5</v>
      </c>
      <c r="R49" s="7">
        <v>5</v>
      </c>
      <c r="S49" s="7">
        <v>5</v>
      </c>
      <c r="T49" s="2">
        <v>0</v>
      </c>
      <c r="U49" s="7">
        <v>1</v>
      </c>
      <c r="V49" s="7">
        <v>3</v>
      </c>
      <c r="W49" s="7">
        <v>4</v>
      </c>
      <c r="X49" s="2">
        <v>0</v>
      </c>
      <c r="Y49" s="2">
        <v>0</v>
      </c>
      <c r="Z49" s="2">
        <v>1</v>
      </c>
      <c r="AA49" s="7">
        <v>1</v>
      </c>
      <c r="AB49" s="7">
        <v>4</v>
      </c>
      <c r="AC49" s="2">
        <v>2</v>
      </c>
      <c r="AD49" s="2">
        <v>0</v>
      </c>
      <c r="AE49" s="7">
        <v>2</v>
      </c>
      <c r="AF49" s="7">
        <v>3</v>
      </c>
    </row>
    <row r="50" spans="1:32" ht="39" customHeight="1" x14ac:dyDescent="0.3">
      <c r="A50" s="7">
        <v>47</v>
      </c>
      <c r="B50" s="7" t="s">
        <v>108</v>
      </c>
      <c r="C50" s="7">
        <v>2124732</v>
      </c>
      <c r="D50" s="7">
        <v>27</v>
      </c>
      <c r="E50" s="7">
        <v>10</v>
      </c>
      <c r="F50" s="7">
        <v>5</v>
      </c>
      <c r="G50" s="7">
        <v>2</v>
      </c>
      <c r="H50" s="7">
        <v>1</v>
      </c>
      <c r="I50" s="7">
        <v>1</v>
      </c>
      <c r="J50" s="7">
        <v>11</v>
      </c>
      <c r="K50" s="7" t="s">
        <v>47</v>
      </c>
      <c r="L50" s="7">
        <v>7</v>
      </c>
      <c r="M50" s="7" t="s">
        <v>11</v>
      </c>
      <c r="N50" s="3">
        <v>9</v>
      </c>
      <c r="O50" s="7">
        <v>1</v>
      </c>
      <c r="P50" s="2">
        <v>5</v>
      </c>
      <c r="Q50" s="2">
        <v>0</v>
      </c>
      <c r="R50" s="2">
        <v>0</v>
      </c>
      <c r="S50" s="7">
        <v>4</v>
      </c>
      <c r="T50" s="7">
        <v>1</v>
      </c>
      <c r="U50" s="2">
        <v>0</v>
      </c>
      <c r="V50" s="2">
        <v>0</v>
      </c>
      <c r="W50" s="2">
        <v>0</v>
      </c>
      <c r="X50" s="7">
        <v>1</v>
      </c>
      <c r="Y50" s="7">
        <v>0</v>
      </c>
      <c r="Z50" s="2">
        <v>0</v>
      </c>
      <c r="AA50" s="2">
        <v>0</v>
      </c>
      <c r="AB50" s="7">
        <v>3</v>
      </c>
      <c r="AC50" s="7">
        <v>5</v>
      </c>
      <c r="AD50" s="7">
        <v>3</v>
      </c>
      <c r="AE50" s="2">
        <v>1</v>
      </c>
      <c r="AF50" s="7">
        <v>3</v>
      </c>
    </row>
    <row r="51" spans="1:32" ht="40" customHeight="1" x14ac:dyDescent="0.3">
      <c r="A51" s="7">
        <v>48</v>
      </c>
      <c r="B51" s="7" t="s">
        <v>109</v>
      </c>
      <c r="C51" s="7">
        <v>2124735</v>
      </c>
      <c r="D51" s="7">
        <v>26</v>
      </c>
      <c r="E51" s="7">
        <v>11</v>
      </c>
      <c r="F51" s="7">
        <v>4</v>
      </c>
      <c r="G51" s="7">
        <v>1</v>
      </c>
      <c r="H51" s="7">
        <v>4</v>
      </c>
      <c r="I51" s="7">
        <v>4</v>
      </c>
      <c r="J51" s="7">
        <v>30</v>
      </c>
      <c r="K51" s="7" t="s">
        <v>110</v>
      </c>
      <c r="L51" s="7">
        <v>7</v>
      </c>
      <c r="M51" s="7" t="s">
        <v>11</v>
      </c>
      <c r="N51" s="3">
        <v>9</v>
      </c>
      <c r="O51" s="7">
        <v>1</v>
      </c>
      <c r="P51" s="2">
        <v>3</v>
      </c>
      <c r="Q51" s="2">
        <v>1</v>
      </c>
      <c r="R51" s="2">
        <v>0</v>
      </c>
      <c r="S51" s="2">
        <v>1</v>
      </c>
      <c r="T51" s="7">
        <v>2</v>
      </c>
      <c r="U51" s="2">
        <v>0</v>
      </c>
      <c r="V51" s="2">
        <v>0</v>
      </c>
      <c r="W51" s="2">
        <v>0</v>
      </c>
      <c r="X51" s="7">
        <v>0</v>
      </c>
      <c r="Y51" s="2">
        <v>0</v>
      </c>
      <c r="Z51" s="2">
        <v>0</v>
      </c>
      <c r="AA51" s="7">
        <v>1</v>
      </c>
      <c r="AB51" s="2">
        <v>2</v>
      </c>
      <c r="AC51" s="2">
        <v>0</v>
      </c>
      <c r="AD51" s="7">
        <v>3</v>
      </c>
      <c r="AE51" s="7">
        <v>2</v>
      </c>
      <c r="AF51" s="7">
        <v>4</v>
      </c>
    </row>
    <row r="52" spans="1:32" ht="40" customHeight="1" x14ac:dyDescent="0.3">
      <c r="A52" s="7">
        <v>49</v>
      </c>
      <c r="B52" s="7" t="s">
        <v>111</v>
      </c>
      <c r="C52" s="7">
        <v>2124738</v>
      </c>
      <c r="D52" s="7">
        <v>27</v>
      </c>
      <c r="E52" s="7">
        <v>10</v>
      </c>
      <c r="F52" s="7">
        <v>5</v>
      </c>
      <c r="G52" s="7">
        <v>1</v>
      </c>
      <c r="H52" s="7">
        <v>5</v>
      </c>
      <c r="I52" s="7">
        <v>5</v>
      </c>
      <c r="J52" s="7">
        <v>22</v>
      </c>
      <c r="K52" s="7" t="s">
        <v>47</v>
      </c>
      <c r="L52" s="7">
        <v>9</v>
      </c>
      <c r="M52" s="7" t="s">
        <v>22</v>
      </c>
      <c r="N52" s="3">
        <v>9</v>
      </c>
      <c r="O52" s="7">
        <v>2</v>
      </c>
      <c r="P52" s="2">
        <v>1</v>
      </c>
      <c r="Q52" s="2">
        <v>2</v>
      </c>
      <c r="R52" s="2">
        <v>1</v>
      </c>
      <c r="S52" s="2">
        <v>2</v>
      </c>
      <c r="T52" s="7">
        <v>2</v>
      </c>
      <c r="U52" s="7">
        <v>1</v>
      </c>
      <c r="V52" s="7">
        <v>3</v>
      </c>
      <c r="W52" s="7">
        <v>3</v>
      </c>
      <c r="X52" s="7">
        <v>0</v>
      </c>
      <c r="Y52" s="2">
        <v>0</v>
      </c>
      <c r="Z52" s="2">
        <v>2</v>
      </c>
      <c r="AA52" s="7">
        <v>2</v>
      </c>
      <c r="AB52" s="7">
        <v>3</v>
      </c>
      <c r="AC52" s="7">
        <v>3</v>
      </c>
      <c r="AD52" s="2">
        <v>2</v>
      </c>
      <c r="AE52" s="2">
        <v>1</v>
      </c>
      <c r="AF52" s="7">
        <v>3</v>
      </c>
    </row>
    <row r="53" spans="1:32" ht="40" customHeight="1" x14ac:dyDescent="0.3">
      <c r="A53" s="7">
        <v>50</v>
      </c>
      <c r="B53" s="21" t="s">
        <v>112</v>
      </c>
      <c r="C53" s="21">
        <v>2124741</v>
      </c>
      <c r="D53" s="21">
        <v>31</v>
      </c>
      <c r="E53" s="21">
        <v>8</v>
      </c>
      <c r="F53" s="21">
        <v>9</v>
      </c>
      <c r="G53" s="21">
        <v>1</v>
      </c>
      <c r="H53" s="21">
        <v>9</v>
      </c>
      <c r="I53" s="21">
        <v>3</v>
      </c>
      <c r="J53" s="21">
        <v>16</v>
      </c>
      <c r="K53" s="21" t="s">
        <v>51</v>
      </c>
      <c r="L53" s="21">
        <v>8</v>
      </c>
      <c r="M53" s="21" t="s">
        <v>11</v>
      </c>
      <c r="N53" s="22">
        <v>9</v>
      </c>
      <c r="O53" s="21">
        <v>2</v>
      </c>
      <c r="P53" s="21">
        <v>20</v>
      </c>
      <c r="Q53" s="21">
        <v>5</v>
      </c>
      <c r="R53" s="21">
        <v>5</v>
      </c>
      <c r="S53" s="21">
        <v>4</v>
      </c>
      <c r="T53" s="21">
        <v>2</v>
      </c>
      <c r="U53" s="21">
        <v>4</v>
      </c>
      <c r="V53" s="21">
        <v>4</v>
      </c>
      <c r="W53" s="21">
        <v>3</v>
      </c>
      <c r="X53" s="21">
        <v>0</v>
      </c>
      <c r="Y53" s="21">
        <v>2</v>
      </c>
      <c r="Z53" s="21">
        <v>4</v>
      </c>
      <c r="AA53" s="21">
        <v>1</v>
      </c>
      <c r="AB53" s="21">
        <v>3</v>
      </c>
      <c r="AC53" s="21">
        <v>4</v>
      </c>
      <c r="AD53" s="21">
        <v>4</v>
      </c>
      <c r="AE53" s="21">
        <v>0</v>
      </c>
      <c r="AF53" s="7">
        <v>1</v>
      </c>
    </row>
    <row r="54" spans="1:32" ht="40" customHeight="1" x14ac:dyDescent="0.3">
      <c r="A54" s="20">
        <v>51</v>
      </c>
      <c r="B54" s="7" t="s">
        <v>119</v>
      </c>
      <c r="C54" s="19">
        <v>2124658</v>
      </c>
      <c r="D54" s="23">
        <v>24</v>
      </c>
      <c r="E54" s="19">
        <v>12</v>
      </c>
      <c r="F54" s="19">
        <v>1</v>
      </c>
      <c r="G54" s="19">
        <v>1</v>
      </c>
      <c r="H54" s="19">
        <v>1</v>
      </c>
      <c r="I54" s="19">
        <v>1</v>
      </c>
      <c r="J54" s="19">
        <v>12</v>
      </c>
      <c r="K54" s="19" t="s">
        <v>12</v>
      </c>
      <c r="L54" s="19">
        <v>10</v>
      </c>
      <c r="M54" s="19" t="s">
        <v>22</v>
      </c>
      <c r="N54" s="3">
        <v>9</v>
      </c>
      <c r="O54" s="19">
        <v>1</v>
      </c>
      <c r="P54" s="2">
        <v>1</v>
      </c>
      <c r="Q54" s="19">
        <v>3.5</v>
      </c>
      <c r="R54" s="19">
        <v>3</v>
      </c>
      <c r="S54" s="19">
        <v>3</v>
      </c>
      <c r="T54" s="19">
        <v>2</v>
      </c>
      <c r="U54" s="2">
        <v>0</v>
      </c>
      <c r="V54" s="19">
        <v>3</v>
      </c>
      <c r="W54" s="19">
        <v>4</v>
      </c>
      <c r="X54" s="19">
        <v>0</v>
      </c>
      <c r="Y54" s="19">
        <v>0</v>
      </c>
      <c r="Z54" s="19">
        <v>3.5</v>
      </c>
      <c r="AA54" s="19">
        <v>2</v>
      </c>
      <c r="AB54" s="19">
        <v>4</v>
      </c>
      <c r="AC54" s="19">
        <v>3</v>
      </c>
      <c r="AD54" s="19">
        <v>3</v>
      </c>
      <c r="AE54" s="19">
        <v>2</v>
      </c>
      <c r="AF54" s="7">
        <v>1</v>
      </c>
    </row>
    <row r="55" spans="1:32" ht="40" customHeight="1" x14ac:dyDescent="0.3">
      <c r="A55" s="20">
        <v>52</v>
      </c>
      <c r="B55" s="7" t="s">
        <v>120</v>
      </c>
      <c r="C55" s="23">
        <f>C54+4</f>
        <v>2124662</v>
      </c>
      <c r="D55" s="23">
        <v>25</v>
      </c>
      <c r="E55" s="19">
        <v>12</v>
      </c>
      <c r="F55" s="19">
        <v>1.5</v>
      </c>
      <c r="G55" s="19">
        <v>1</v>
      </c>
      <c r="H55" s="19">
        <v>1.5</v>
      </c>
      <c r="I55" s="19">
        <v>1.5</v>
      </c>
      <c r="J55" s="19">
        <v>17</v>
      </c>
      <c r="K55" s="19" t="s">
        <v>113</v>
      </c>
      <c r="L55" s="19">
        <v>6</v>
      </c>
      <c r="M55" s="19" t="s">
        <v>22</v>
      </c>
      <c r="N55" s="3">
        <v>9</v>
      </c>
      <c r="O55" s="19">
        <v>2</v>
      </c>
      <c r="P55" s="2">
        <v>0</v>
      </c>
      <c r="Q55" s="19">
        <v>4</v>
      </c>
      <c r="R55" s="19">
        <v>3</v>
      </c>
      <c r="S55" s="19">
        <v>3</v>
      </c>
      <c r="T55" s="19">
        <v>2</v>
      </c>
      <c r="U55" s="19">
        <v>1</v>
      </c>
      <c r="V55" s="19">
        <v>3</v>
      </c>
      <c r="W55" s="19">
        <v>4</v>
      </c>
      <c r="X55" s="19">
        <v>0</v>
      </c>
      <c r="Y55" s="19">
        <v>0</v>
      </c>
      <c r="Z55" s="19">
        <v>3</v>
      </c>
      <c r="AA55" s="19">
        <v>1</v>
      </c>
      <c r="AB55" s="19">
        <v>4</v>
      </c>
      <c r="AC55" s="19">
        <v>3</v>
      </c>
      <c r="AD55" s="19">
        <v>3</v>
      </c>
      <c r="AE55" s="19">
        <v>2</v>
      </c>
      <c r="AF55" s="7">
        <v>1</v>
      </c>
    </row>
    <row r="56" spans="1:32" ht="40" customHeight="1" x14ac:dyDescent="0.3">
      <c r="A56" s="20">
        <v>53</v>
      </c>
      <c r="B56" s="7" t="s">
        <v>121</v>
      </c>
      <c r="C56" s="23">
        <f t="shared" ref="C56:C94" si="0">C55+4</f>
        <v>2124666</v>
      </c>
      <c r="D56" s="23">
        <v>27</v>
      </c>
      <c r="E56" s="19">
        <v>10</v>
      </c>
      <c r="F56" s="19">
        <v>5</v>
      </c>
      <c r="G56" s="19">
        <v>2</v>
      </c>
      <c r="H56" s="19">
        <v>3.5</v>
      </c>
      <c r="I56" s="19">
        <v>3.5</v>
      </c>
      <c r="J56" s="19">
        <v>29</v>
      </c>
      <c r="K56" s="19" t="s">
        <v>62</v>
      </c>
      <c r="L56" s="2">
        <v>12</v>
      </c>
      <c r="M56" s="19" t="s">
        <v>11</v>
      </c>
      <c r="N56" s="2">
        <v>11</v>
      </c>
      <c r="O56" s="19">
        <v>1</v>
      </c>
      <c r="P56" s="2">
        <v>1</v>
      </c>
      <c r="Q56" s="19">
        <v>4</v>
      </c>
      <c r="R56" s="19">
        <v>2.5</v>
      </c>
      <c r="S56" s="19">
        <v>3</v>
      </c>
      <c r="T56" s="19">
        <v>2</v>
      </c>
      <c r="U56" s="19">
        <v>1</v>
      </c>
      <c r="V56" s="19">
        <v>3</v>
      </c>
      <c r="W56" s="19">
        <v>3</v>
      </c>
      <c r="X56" s="19">
        <v>1</v>
      </c>
      <c r="Y56" s="2">
        <v>0</v>
      </c>
      <c r="Z56" s="19">
        <v>3</v>
      </c>
      <c r="AA56" s="19">
        <v>2</v>
      </c>
      <c r="AB56" s="19">
        <v>3</v>
      </c>
      <c r="AC56" s="19">
        <v>3</v>
      </c>
      <c r="AD56" s="19">
        <v>3</v>
      </c>
      <c r="AE56" s="19">
        <v>2</v>
      </c>
      <c r="AF56" s="7">
        <v>2</v>
      </c>
    </row>
    <row r="57" spans="1:32" ht="40" customHeight="1" x14ac:dyDescent="0.3">
      <c r="A57" s="20">
        <v>54</v>
      </c>
      <c r="B57" s="7" t="s">
        <v>122</v>
      </c>
      <c r="C57" s="23">
        <f t="shared" si="0"/>
        <v>2124670</v>
      </c>
      <c r="D57" s="23">
        <v>28</v>
      </c>
      <c r="E57" s="19">
        <v>10</v>
      </c>
      <c r="F57" s="19">
        <v>6</v>
      </c>
      <c r="G57" s="19">
        <v>2</v>
      </c>
      <c r="H57" s="19">
        <v>4</v>
      </c>
      <c r="I57" s="19">
        <v>2</v>
      </c>
      <c r="J57" s="19">
        <v>12</v>
      </c>
      <c r="K57" s="19" t="s">
        <v>61</v>
      </c>
      <c r="L57" s="2">
        <v>15</v>
      </c>
      <c r="M57" s="19" t="s">
        <v>11</v>
      </c>
      <c r="N57" s="2">
        <v>11</v>
      </c>
      <c r="O57" s="19">
        <v>2</v>
      </c>
      <c r="P57" s="2">
        <v>2</v>
      </c>
      <c r="Q57" s="19">
        <v>3</v>
      </c>
      <c r="R57" s="19">
        <v>3</v>
      </c>
      <c r="S57" s="19">
        <v>4</v>
      </c>
      <c r="T57" s="19">
        <v>1</v>
      </c>
      <c r="U57" s="19">
        <v>1</v>
      </c>
      <c r="V57" s="19">
        <v>4</v>
      </c>
      <c r="W57" s="19">
        <v>4</v>
      </c>
      <c r="X57" s="19">
        <v>1</v>
      </c>
      <c r="Y57" s="19">
        <v>0</v>
      </c>
      <c r="Z57" s="19">
        <v>3</v>
      </c>
      <c r="AA57" s="19">
        <v>1</v>
      </c>
      <c r="AB57" s="19">
        <v>4</v>
      </c>
      <c r="AC57" s="19">
        <v>3.5</v>
      </c>
      <c r="AD57" s="19">
        <v>3.5</v>
      </c>
      <c r="AE57" s="19">
        <v>2</v>
      </c>
      <c r="AF57" s="7">
        <v>2</v>
      </c>
    </row>
    <row r="58" spans="1:32" ht="40" customHeight="1" x14ac:dyDescent="0.3">
      <c r="A58" s="20">
        <v>55</v>
      </c>
      <c r="B58" s="7" t="s">
        <v>123</v>
      </c>
      <c r="C58" s="23">
        <f t="shared" si="0"/>
        <v>2124674</v>
      </c>
      <c r="D58" s="23">
        <v>24</v>
      </c>
      <c r="E58" s="19">
        <v>12</v>
      </c>
      <c r="F58" s="19">
        <v>1.5</v>
      </c>
      <c r="G58" s="19">
        <v>1</v>
      </c>
      <c r="H58" s="19">
        <v>1.5</v>
      </c>
      <c r="I58" s="19">
        <v>1.5</v>
      </c>
      <c r="J58" s="19">
        <v>17</v>
      </c>
      <c r="K58" s="19" t="s">
        <v>114</v>
      </c>
      <c r="L58" s="2">
        <v>16</v>
      </c>
      <c r="M58" s="2" t="s">
        <v>22</v>
      </c>
      <c r="N58" s="2">
        <v>10</v>
      </c>
      <c r="O58" s="19">
        <v>1</v>
      </c>
      <c r="P58" s="2">
        <v>3</v>
      </c>
      <c r="Q58" s="19">
        <v>4</v>
      </c>
      <c r="R58" s="19">
        <v>3.5</v>
      </c>
      <c r="S58" s="19">
        <v>3</v>
      </c>
      <c r="T58" s="19">
        <v>1</v>
      </c>
      <c r="U58" s="19">
        <v>1</v>
      </c>
      <c r="V58" s="19">
        <v>4</v>
      </c>
      <c r="W58" s="19">
        <v>4</v>
      </c>
      <c r="X58" s="19">
        <v>1</v>
      </c>
      <c r="Y58" s="19">
        <v>0</v>
      </c>
      <c r="Z58" s="19">
        <v>4</v>
      </c>
      <c r="AA58" s="19">
        <v>1</v>
      </c>
      <c r="AB58" s="19">
        <v>4</v>
      </c>
      <c r="AC58" s="19">
        <v>4</v>
      </c>
      <c r="AD58" s="19">
        <v>3</v>
      </c>
      <c r="AE58" s="19">
        <v>0</v>
      </c>
      <c r="AF58" s="7">
        <v>2</v>
      </c>
    </row>
    <row r="59" spans="1:32" ht="40" customHeight="1" x14ac:dyDescent="0.3">
      <c r="A59" s="20">
        <v>56</v>
      </c>
      <c r="B59" s="7" t="s">
        <v>124</v>
      </c>
      <c r="C59" s="23">
        <f t="shared" si="0"/>
        <v>2124678</v>
      </c>
      <c r="D59" s="23">
        <v>30</v>
      </c>
      <c r="E59" s="19">
        <v>10</v>
      </c>
      <c r="F59" s="19">
        <v>6</v>
      </c>
      <c r="G59" s="19">
        <v>2</v>
      </c>
      <c r="H59" s="19">
        <v>4</v>
      </c>
      <c r="I59" s="19">
        <v>2</v>
      </c>
      <c r="J59" s="19">
        <v>12</v>
      </c>
      <c r="K59" s="19" t="s">
        <v>51</v>
      </c>
      <c r="L59" s="2">
        <v>12</v>
      </c>
      <c r="M59" s="19" t="s">
        <v>11</v>
      </c>
      <c r="N59" s="2">
        <v>10.5</v>
      </c>
      <c r="O59" s="19">
        <v>1</v>
      </c>
      <c r="P59" s="2">
        <v>1</v>
      </c>
      <c r="Q59" s="19">
        <v>4</v>
      </c>
      <c r="R59" s="19">
        <v>4</v>
      </c>
      <c r="S59" s="19">
        <v>3</v>
      </c>
      <c r="T59" s="19">
        <v>2</v>
      </c>
      <c r="U59" s="19">
        <v>2</v>
      </c>
      <c r="V59" s="19">
        <v>3.5</v>
      </c>
      <c r="W59" s="19">
        <v>3.5</v>
      </c>
      <c r="X59" s="19">
        <v>1</v>
      </c>
      <c r="Y59" s="19">
        <v>0</v>
      </c>
      <c r="Z59" s="19">
        <v>4</v>
      </c>
      <c r="AA59" s="19">
        <v>1</v>
      </c>
      <c r="AB59" s="19">
        <v>4</v>
      </c>
      <c r="AC59" s="19">
        <v>3.5</v>
      </c>
      <c r="AD59" s="19">
        <v>3</v>
      </c>
      <c r="AE59" s="19">
        <v>2</v>
      </c>
      <c r="AF59" s="7">
        <v>2</v>
      </c>
    </row>
    <row r="60" spans="1:32" ht="40" customHeight="1" x14ac:dyDescent="0.3">
      <c r="A60" s="20">
        <v>57</v>
      </c>
      <c r="B60" s="7" t="s">
        <v>125</v>
      </c>
      <c r="C60" s="23">
        <f t="shared" si="0"/>
        <v>2124682</v>
      </c>
      <c r="D60" s="23">
        <v>31</v>
      </c>
      <c r="E60" s="19">
        <v>9</v>
      </c>
      <c r="F60" s="19">
        <v>8</v>
      </c>
      <c r="G60" s="19">
        <v>2</v>
      </c>
      <c r="H60" s="19">
        <v>5</v>
      </c>
      <c r="I60" s="19">
        <v>2.6</v>
      </c>
      <c r="J60" s="19">
        <v>30</v>
      </c>
      <c r="K60" s="19" t="s">
        <v>115</v>
      </c>
      <c r="L60" s="19">
        <v>10</v>
      </c>
      <c r="M60" s="19" t="s">
        <v>11</v>
      </c>
      <c r="N60" s="2">
        <v>10</v>
      </c>
      <c r="O60" s="19">
        <v>2</v>
      </c>
      <c r="P60" s="2">
        <v>1</v>
      </c>
      <c r="Q60" s="19">
        <v>3.5</v>
      </c>
      <c r="R60" s="19">
        <v>3</v>
      </c>
      <c r="S60" s="19">
        <v>3</v>
      </c>
      <c r="T60" s="19">
        <v>1</v>
      </c>
      <c r="U60" s="19">
        <v>1</v>
      </c>
      <c r="V60" s="19">
        <v>3</v>
      </c>
      <c r="W60" s="19">
        <v>4</v>
      </c>
      <c r="X60" s="19">
        <v>1</v>
      </c>
      <c r="Y60" s="19">
        <v>1</v>
      </c>
      <c r="Z60" s="19">
        <v>4</v>
      </c>
      <c r="AA60" s="19">
        <v>1</v>
      </c>
      <c r="AB60" s="19">
        <v>4</v>
      </c>
      <c r="AC60" s="19">
        <v>3.5</v>
      </c>
      <c r="AD60" s="19">
        <v>3</v>
      </c>
      <c r="AE60" s="19">
        <v>2</v>
      </c>
      <c r="AF60" s="7">
        <v>1</v>
      </c>
    </row>
    <row r="61" spans="1:32" ht="40" customHeight="1" x14ac:dyDescent="0.3">
      <c r="A61" s="20">
        <v>58</v>
      </c>
      <c r="B61" s="7" t="s">
        <v>126</v>
      </c>
      <c r="C61" s="23">
        <f t="shared" si="0"/>
        <v>2124686</v>
      </c>
      <c r="D61" s="23">
        <v>26</v>
      </c>
      <c r="E61" s="19">
        <v>11</v>
      </c>
      <c r="F61" s="19">
        <v>3</v>
      </c>
      <c r="G61" s="19">
        <v>1</v>
      </c>
      <c r="H61" s="19">
        <v>3</v>
      </c>
      <c r="I61" s="19">
        <v>2.8</v>
      </c>
      <c r="J61" s="19">
        <v>32</v>
      </c>
      <c r="K61" s="19" t="s">
        <v>62</v>
      </c>
      <c r="L61" s="19">
        <v>8</v>
      </c>
      <c r="M61" s="19" t="s">
        <v>22</v>
      </c>
      <c r="N61" s="3">
        <v>9</v>
      </c>
      <c r="O61" s="19">
        <v>1</v>
      </c>
      <c r="P61" s="2">
        <v>1</v>
      </c>
      <c r="Q61" s="19">
        <v>3</v>
      </c>
      <c r="R61" s="19">
        <v>4</v>
      </c>
      <c r="S61" s="19">
        <v>4</v>
      </c>
      <c r="T61" s="19">
        <v>1</v>
      </c>
      <c r="U61" s="19">
        <v>2</v>
      </c>
      <c r="V61" s="19">
        <v>3.5</v>
      </c>
      <c r="W61" s="19">
        <v>4</v>
      </c>
      <c r="X61" s="19">
        <v>0</v>
      </c>
      <c r="Y61" s="19">
        <v>0</v>
      </c>
      <c r="Z61" s="19">
        <v>3</v>
      </c>
      <c r="AA61" s="19">
        <v>1</v>
      </c>
      <c r="AB61" s="19">
        <v>4</v>
      </c>
      <c r="AC61" s="19">
        <v>3.5</v>
      </c>
      <c r="AD61" s="19">
        <v>3.5</v>
      </c>
      <c r="AE61" s="19">
        <v>2</v>
      </c>
      <c r="AF61" s="7">
        <v>1</v>
      </c>
    </row>
    <row r="62" spans="1:32" ht="40" customHeight="1" x14ac:dyDescent="0.3">
      <c r="A62" s="20">
        <v>59</v>
      </c>
      <c r="B62" s="7" t="s">
        <v>127</v>
      </c>
      <c r="C62" s="23">
        <f t="shared" si="0"/>
        <v>2124690</v>
      </c>
      <c r="D62" s="23">
        <v>29</v>
      </c>
      <c r="E62" s="19">
        <v>9</v>
      </c>
      <c r="F62" s="19">
        <v>6</v>
      </c>
      <c r="G62" s="19">
        <v>2</v>
      </c>
      <c r="H62" s="19">
        <v>3</v>
      </c>
      <c r="I62" s="19">
        <v>2</v>
      </c>
      <c r="J62" s="19">
        <v>12</v>
      </c>
      <c r="K62" s="19" t="s">
        <v>116</v>
      </c>
      <c r="L62" s="2">
        <v>12</v>
      </c>
      <c r="M62" s="19" t="s">
        <v>11</v>
      </c>
      <c r="N62" s="2">
        <v>10</v>
      </c>
      <c r="O62" s="19">
        <v>1</v>
      </c>
      <c r="P62" s="2">
        <v>2</v>
      </c>
      <c r="Q62" s="19">
        <v>4</v>
      </c>
      <c r="R62" s="19">
        <v>4.5</v>
      </c>
      <c r="S62" s="19">
        <v>4</v>
      </c>
      <c r="T62" s="19">
        <v>1</v>
      </c>
      <c r="U62" s="19">
        <v>2</v>
      </c>
      <c r="V62" s="19">
        <v>4</v>
      </c>
      <c r="W62" s="19">
        <v>5</v>
      </c>
      <c r="X62" s="19">
        <v>1</v>
      </c>
      <c r="Y62" s="19">
        <v>1</v>
      </c>
      <c r="Z62" s="19">
        <v>4</v>
      </c>
      <c r="AA62" s="19">
        <v>1</v>
      </c>
      <c r="AB62" s="19">
        <v>4</v>
      </c>
      <c r="AC62" s="19">
        <v>4</v>
      </c>
      <c r="AD62" s="19">
        <v>4</v>
      </c>
      <c r="AE62" s="19">
        <v>2</v>
      </c>
      <c r="AF62" s="7">
        <v>2</v>
      </c>
    </row>
    <row r="63" spans="1:32" ht="40" customHeight="1" x14ac:dyDescent="0.3">
      <c r="A63" s="20">
        <v>60</v>
      </c>
      <c r="B63" s="7" t="s">
        <v>128</v>
      </c>
      <c r="C63" s="23">
        <f t="shared" si="0"/>
        <v>2124694</v>
      </c>
      <c r="D63" s="23">
        <v>31</v>
      </c>
      <c r="E63" s="19">
        <v>9</v>
      </c>
      <c r="F63" s="19">
        <v>8</v>
      </c>
      <c r="G63" s="19">
        <v>2</v>
      </c>
      <c r="H63" s="19">
        <v>3</v>
      </c>
      <c r="I63" s="19">
        <v>2.9</v>
      </c>
      <c r="J63" s="19">
        <v>33</v>
      </c>
      <c r="K63" s="19" t="s">
        <v>117</v>
      </c>
      <c r="L63" s="19">
        <v>7</v>
      </c>
      <c r="M63" s="19" t="s">
        <v>11</v>
      </c>
      <c r="N63" s="2">
        <v>11</v>
      </c>
      <c r="O63" s="19">
        <v>1</v>
      </c>
      <c r="P63" s="2">
        <v>2</v>
      </c>
      <c r="Q63" s="19">
        <v>4</v>
      </c>
      <c r="R63" s="19">
        <v>3.5</v>
      </c>
      <c r="S63" s="19">
        <v>4</v>
      </c>
      <c r="T63" s="19">
        <v>1</v>
      </c>
      <c r="U63" s="19">
        <v>1</v>
      </c>
      <c r="V63" s="19">
        <v>4.5</v>
      </c>
      <c r="W63" s="19">
        <v>4.5</v>
      </c>
      <c r="X63" s="19">
        <v>1</v>
      </c>
      <c r="Y63" s="19">
        <v>1</v>
      </c>
      <c r="Z63" s="19">
        <v>4</v>
      </c>
      <c r="AA63" s="19">
        <v>1</v>
      </c>
      <c r="AB63" s="19">
        <v>4.5</v>
      </c>
      <c r="AC63" s="19">
        <v>4</v>
      </c>
      <c r="AD63" s="19">
        <v>3.5</v>
      </c>
      <c r="AE63" s="19">
        <v>2</v>
      </c>
      <c r="AF63" s="7">
        <v>1</v>
      </c>
    </row>
    <row r="64" spans="1:32" ht="40" customHeight="1" x14ac:dyDescent="0.3">
      <c r="A64" s="20">
        <v>61</v>
      </c>
      <c r="B64" s="7" t="s">
        <v>129</v>
      </c>
      <c r="C64" s="23">
        <f t="shared" si="0"/>
        <v>2124698</v>
      </c>
      <c r="D64" s="19">
        <v>26</v>
      </c>
      <c r="E64" s="19">
        <v>10</v>
      </c>
      <c r="F64" s="19">
        <v>4</v>
      </c>
      <c r="G64" s="19">
        <v>2</v>
      </c>
      <c r="H64" s="19">
        <v>2</v>
      </c>
      <c r="I64" s="19">
        <v>2</v>
      </c>
      <c r="J64" s="19">
        <v>24</v>
      </c>
      <c r="K64" s="19" t="s">
        <v>47</v>
      </c>
      <c r="L64" s="19">
        <v>8</v>
      </c>
      <c r="M64" s="2" t="s">
        <v>22</v>
      </c>
      <c r="N64" s="2">
        <v>10.5</v>
      </c>
      <c r="O64" s="19">
        <v>1</v>
      </c>
      <c r="P64" s="2">
        <v>2</v>
      </c>
      <c r="Q64" s="19">
        <v>4.5</v>
      </c>
      <c r="R64" s="19">
        <v>4</v>
      </c>
      <c r="S64" s="19">
        <v>4</v>
      </c>
      <c r="T64" s="19">
        <v>1</v>
      </c>
      <c r="U64" s="19">
        <v>1</v>
      </c>
      <c r="V64" s="19">
        <v>3.5</v>
      </c>
      <c r="W64" s="19">
        <v>4</v>
      </c>
      <c r="X64" s="19">
        <v>1</v>
      </c>
      <c r="Y64" s="19">
        <v>0</v>
      </c>
      <c r="Z64" s="19">
        <v>3.5</v>
      </c>
      <c r="AA64" s="19">
        <v>1</v>
      </c>
      <c r="AB64" s="19">
        <v>4</v>
      </c>
      <c r="AC64" s="19">
        <v>3.5</v>
      </c>
      <c r="AD64" s="19">
        <v>3.5</v>
      </c>
      <c r="AE64" s="19">
        <v>2</v>
      </c>
      <c r="AF64" s="7">
        <v>2</v>
      </c>
    </row>
    <row r="65" spans="1:32" ht="40" customHeight="1" x14ac:dyDescent="0.3">
      <c r="A65" s="20">
        <v>62</v>
      </c>
      <c r="B65" s="7" t="s">
        <v>130</v>
      </c>
      <c r="C65" s="23">
        <f t="shared" si="0"/>
        <v>2124702</v>
      </c>
      <c r="D65" s="19">
        <v>27</v>
      </c>
      <c r="E65" s="19">
        <v>10</v>
      </c>
      <c r="F65" s="19">
        <v>5</v>
      </c>
      <c r="G65" s="19">
        <v>2</v>
      </c>
      <c r="H65" s="19">
        <v>3</v>
      </c>
      <c r="I65" s="19">
        <v>2.7</v>
      </c>
      <c r="J65" s="19">
        <v>31</v>
      </c>
      <c r="K65" s="19" t="s">
        <v>114</v>
      </c>
      <c r="L65" s="2">
        <v>12</v>
      </c>
      <c r="M65" s="19" t="s">
        <v>11</v>
      </c>
      <c r="N65" s="2">
        <v>10</v>
      </c>
      <c r="O65" s="19">
        <v>1</v>
      </c>
      <c r="P65" s="2">
        <v>1</v>
      </c>
      <c r="Q65" s="19">
        <v>3.5</v>
      </c>
      <c r="R65" s="19">
        <v>4</v>
      </c>
      <c r="S65" s="19">
        <v>4</v>
      </c>
      <c r="T65" s="19">
        <v>1</v>
      </c>
      <c r="U65" s="19">
        <v>1</v>
      </c>
      <c r="V65" s="19">
        <v>3</v>
      </c>
      <c r="W65" s="19">
        <v>4</v>
      </c>
      <c r="X65" s="19">
        <v>1</v>
      </c>
      <c r="Y65" s="19">
        <v>0</v>
      </c>
      <c r="Z65" s="19">
        <v>3.5</v>
      </c>
      <c r="AA65" s="19">
        <v>1</v>
      </c>
      <c r="AB65" s="19">
        <v>4</v>
      </c>
      <c r="AC65" s="19">
        <v>3</v>
      </c>
      <c r="AD65" s="19">
        <v>3.5</v>
      </c>
      <c r="AE65" s="19">
        <v>2</v>
      </c>
      <c r="AF65" s="7">
        <v>2</v>
      </c>
    </row>
    <row r="66" spans="1:32" ht="40" customHeight="1" x14ac:dyDescent="0.3">
      <c r="A66" s="20">
        <v>63</v>
      </c>
      <c r="B66" s="7" t="s">
        <v>131</v>
      </c>
      <c r="C66" s="23">
        <f t="shared" si="0"/>
        <v>2124706</v>
      </c>
      <c r="D66" s="19">
        <v>29</v>
      </c>
      <c r="E66" s="19">
        <v>10</v>
      </c>
      <c r="F66" s="19">
        <v>5</v>
      </c>
      <c r="G66" s="19">
        <v>1</v>
      </c>
      <c r="H66" s="19">
        <v>5</v>
      </c>
      <c r="I66" s="19">
        <v>5</v>
      </c>
      <c r="J66" s="19">
        <v>22</v>
      </c>
      <c r="K66" s="19" t="s">
        <v>12</v>
      </c>
      <c r="L66" s="19">
        <v>2</v>
      </c>
      <c r="M66" s="19" t="s">
        <v>11</v>
      </c>
      <c r="N66" s="2">
        <v>11</v>
      </c>
      <c r="O66" s="19">
        <v>1</v>
      </c>
      <c r="P66" s="2">
        <v>4</v>
      </c>
      <c r="Q66" s="19">
        <v>5</v>
      </c>
      <c r="R66" s="19">
        <v>5</v>
      </c>
      <c r="S66" s="19">
        <v>5</v>
      </c>
      <c r="T66" s="19">
        <v>1</v>
      </c>
      <c r="U66" s="19">
        <v>1</v>
      </c>
      <c r="V66" s="19">
        <v>5</v>
      </c>
      <c r="W66" s="19">
        <v>5</v>
      </c>
      <c r="X66" s="19">
        <v>1</v>
      </c>
      <c r="Y66" s="19">
        <v>1</v>
      </c>
      <c r="Z66" s="19">
        <v>4</v>
      </c>
      <c r="AA66" s="19">
        <v>1</v>
      </c>
      <c r="AB66" s="19">
        <v>4</v>
      </c>
      <c r="AC66" s="19">
        <v>3</v>
      </c>
      <c r="AD66" s="19">
        <v>4</v>
      </c>
      <c r="AE66" s="19">
        <v>0</v>
      </c>
      <c r="AF66" s="7">
        <v>1</v>
      </c>
    </row>
    <row r="67" spans="1:32" ht="40" customHeight="1" x14ac:dyDescent="0.3">
      <c r="A67" s="20">
        <v>64</v>
      </c>
      <c r="B67" s="7" t="s">
        <v>132</v>
      </c>
      <c r="C67" s="23">
        <f t="shared" si="0"/>
        <v>2124710</v>
      </c>
      <c r="D67" s="19">
        <v>32</v>
      </c>
      <c r="E67" s="19">
        <v>9</v>
      </c>
      <c r="F67" s="19">
        <v>7.5</v>
      </c>
      <c r="G67" s="19">
        <v>2</v>
      </c>
      <c r="H67" s="19">
        <v>4</v>
      </c>
      <c r="I67" s="19">
        <v>2.9</v>
      </c>
      <c r="J67" s="19">
        <v>33</v>
      </c>
      <c r="K67" s="19" t="s">
        <v>62</v>
      </c>
      <c r="L67" s="19">
        <v>5</v>
      </c>
      <c r="M67" s="19" t="s">
        <v>11</v>
      </c>
      <c r="N67" s="2">
        <v>11</v>
      </c>
      <c r="O67" s="19">
        <v>1</v>
      </c>
      <c r="P67" s="2">
        <v>3</v>
      </c>
      <c r="Q67" s="19">
        <v>4</v>
      </c>
      <c r="R67" s="19">
        <v>5</v>
      </c>
      <c r="S67" s="19">
        <v>4</v>
      </c>
      <c r="T67" s="19">
        <v>1</v>
      </c>
      <c r="U67" s="19">
        <v>1</v>
      </c>
      <c r="V67" s="19">
        <v>4</v>
      </c>
      <c r="W67" s="19">
        <v>4</v>
      </c>
      <c r="X67" s="19">
        <v>1</v>
      </c>
      <c r="Y67" s="19">
        <v>1</v>
      </c>
      <c r="Z67" s="19">
        <v>4</v>
      </c>
      <c r="AA67" s="19">
        <v>1</v>
      </c>
      <c r="AB67" s="19">
        <v>4</v>
      </c>
      <c r="AC67" s="19">
        <v>3.5</v>
      </c>
      <c r="AD67" s="19">
        <v>3</v>
      </c>
      <c r="AE67" s="19">
        <v>2</v>
      </c>
      <c r="AF67" s="7">
        <v>1</v>
      </c>
    </row>
    <row r="68" spans="1:32" ht="40" customHeight="1" x14ac:dyDescent="0.3">
      <c r="A68" s="20">
        <v>65</v>
      </c>
      <c r="B68" s="7" t="s">
        <v>133</v>
      </c>
      <c r="C68" s="23">
        <f t="shared" si="0"/>
        <v>2124714</v>
      </c>
      <c r="D68" s="19">
        <v>25</v>
      </c>
      <c r="E68" s="2">
        <v>11</v>
      </c>
      <c r="F68" s="19">
        <v>3</v>
      </c>
      <c r="G68" s="19">
        <v>1</v>
      </c>
      <c r="H68" s="19">
        <v>3</v>
      </c>
      <c r="I68" s="2">
        <v>3</v>
      </c>
      <c r="J68" s="2">
        <v>36</v>
      </c>
      <c r="K68" s="19" t="s">
        <v>62</v>
      </c>
      <c r="L68" s="19">
        <v>6</v>
      </c>
      <c r="M68" s="19" t="s">
        <v>11</v>
      </c>
      <c r="N68" s="2">
        <v>11</v>
      </c>
      <c r="O68" s="19">
        <v>1</v>
      </c>
      <c r="P68" s="2">
        <v>4</v>
      </c>
      <c r="Q68" s="19">
        <v>4.5</v>
      </c>
      <c r="R68" s="19">
        <v>4</v>
      </c>
      <c r="S68" s="19">
        <v>3.5</v>
      </c>
      <c r="T68" s="19">
        <v>2</v>
      </c>
      <c r="U68" s="19">
        <v>1</v>
      </c>
      <c r="V68" s="19">
        <v>4.5</v>
      </c>
      <c r="W68" s="19">
        <v>4.5</v>
      </c>
      <c r="X68" s="19">
        <v>1</v>
      </c>
      <c r="Y68" s="19">
        <v>1</v>
      </c>
      <c r="Z68" s="19">
        <v>4.5</v>
      </c>
      <c r="AA68" s="19">
        <v>1</v>
      </c>
      <c r="AB68" s="19">
        <v>5</v>
      </c>
      <c r="AC68" s="19">
        <v>4</v>
      </c>
      <c r="AD68" s="19">
        <v>3.5</v>
      </c>
      <c r="AE68" s="19">
        <v>2</v>
      </c>
      <c r="AF68" s="7">
        <v>2</v>
      </c>
    </row>
    <row r="69" spans="1:32" ht="40" customHeight="1" x14ac:dyDescent="0.3">
      <c r="A69" s="20">
        <v>66</v>
      </c>
      <c r="B69" s="7" t="s">
        <v>134</v>
      </c>
      <c r="C69" s="23">
        <f t="shared" si="0"/>
        <v>2124718</v>
      </c>
      <c r="D69" s="19">
        <v>26</v>
      </c>
      <c r="E69" s="19">
        <v>10</v>
      </c>
      <c r="F69" s="19">
        <v>5</v>
      </c>
      <c r="G69" s="19">
        <v>2</v>
      </c>
      <c r="H69" s="19">
        <v>3</v>
      </c>
      <c r="I69" s="19">
        <v>2.7</v>
      </c>
      <c r="J69" s="19">
        <v>31</v>
      </c>
      <c r="K69" s="19" t="s">
        <v>115</v>
      </c>
      <c r="L69" s="19">
        <v>8</v>
      </c>
      <c r="M69" s="2" t="s">
        <v>22</v>
      </c>
      <c r="N69" s="2">
        <v>10.5</v>
      </c>
      <c r="O69" s="19">
        <v>1</v>
      </c>
      <c r="P69" s="2">
        <v>5</v>
      </c>
      <c r="Q69" s="19">
        <v>4</v>
      </c>
      <c r="R69" s="19">
        <v>5</v>
      </c>
      <c r="S69" s="19">
        <v>3.5</v>
      </c>
      <c r="T69" s="19">
        <v>1</v>
      </c>
      <c r="U69" s="19">
        <v>1</v>
      </c>
      <c r="V69" s="19">
        <v>4</v>
      </c>
      <c r="W69" s="19">
        <v>3.5</v>
      </c>
      <c r="X69" s="19">
        <v>1</v>
      </c>
      <c r="Y69" s="19">
        <v>0</v>
      </c>
      <c r="Z69" s="19">
        <v>4</v>
      </c>
      <c r="AA69" s="19">
        <v>2</v>
      </c>
      <c r="AB69" s="19">
        <v>4</v>
      </c>
      <c r="AC69" s="19">
        <v>3.5</v>
      </c>
      <c r="AD69" s="19">
        <v>3</v>
      </c>
      <c r="AE69" s="19">
        <v>0</v>
      </c>
      <c r="AF69" s="7">
        <v>2</v>
      </c>
    </row>
    <row r="70" spans="1:32" ht="40" customHeight="1" x14ac:dyDescent="0.3">
      <c r="A70" s="20">
        <v>67</v>
      </c>
      <c r="B70" s="7" t="s">
        <v>135</v>
      </c>
      <c r="C70" s="23">
        <f t="shared" si="0"/>
        <v>2124722</v>
      </c>
      <c r="D70" s="19">
        <v>27</v>
      </c>
      <c r="E70" s="19">
        <v>10</v>
      </c>
      <c r="F70" s="19">
        <v>5.5</v>
      </c>
      <c r="G70" s="19">
        <v>2</v>
      </c>
      <c r="H70" s="19">
        <v>2</v>
      </c>
      <c r="I70" s="19">
        <v>2</v>
      </c>
      <c r="J70" s="19">
        <v>12</v>
      </c>
      <c r="K70" s="19" t="s">
        <v>51</v>
      </c>
      <c r="L70" s="19">
        <v>6</v>
      </c>
      <c r="M70" s="19" t="s">
        <v>11</v>
      </c>
      <c r="N70" s="2">
        <v>10</v>
      </c>
      <c r="O70" s="19">
        <v>1</v>
      </c>
      <c r="P70" s="2">
        <v>4</v>
      </c>
      <c r="Q70" s="19">
        <v>4.5</v>
      </c>
      <c r="R70" s="19">
        <v>5</v>
      </c>
      <c r="S70" s="19">
        <v>4</v>
      </c>
      <c r="T70" s="19">
        <v>1</v>
      </c>
      <c r="U70" s="19">
        <v>1</v>
      </c>
      <c r="V70" s="19">
        <v>4.5</v>
      </c>
      <c r="W70" s="19">
        <v>4</v>
      </c>
      <c r="X70" s="19">
        <v>1</v>
      </c>
      <c r="Y70" s="19">
        <v>0</v>
      </c>
      <c r="Z70" s="19">
        <v>4</v>
      </c>
      <c r="AA70" s="19">
        <v>1</v>
      </c>
      <c r="AB70" s="19">
        <v>4</v>
      </c>
      <c r="AC70" s="19">
        <v>4</v>
      </c>
      <c r="AD70" s="19">
        <v>3.5</v>
      </c>
      <c r="AE70" s="19">
        <v>2</v>
      </c>
      <c r="AF70" s="7">
        <v>1</v>
      </c>
    </row>
    <row r="71" spans="1:32" ht="40" customHeight="1" x14ac:dyDescent="0.3">
      <c r="A71" s="20">
        <v>68</v>
      </c>
      <c r="B71" s="7" t="s">
        <v>136</v>
      </c>
      <c r="C71" s="23">
        <f t="shared" si="0"/>
        <v>2124726</v>
      </c>
      <c r="D71" s="19">
        <v>25</v>
      </c>
      <c r="E71" s="19">
        <v>11</v>
      </c>
      <c r="F71" s="19">
        <v>3</v>
      </c>
      <c r="G71" s="19">
        <v>1</v>
      </c>
      <c r="H71" s="19">
        <v>3</v>
      </c>
      <c r="I71" s="19">
        <v>2</v>
      </c>
      <c r="J71" s="19">
        <v>12</v>
      </c>
      <c r="K71" s="19" t="s">
        <v>118</v>
      </c>
      <c r="L71" s="19">
        <v>7</v>
      </c>
      <c r="M71" s="2" t="s">
        <v>22</v>
      </c>
      <c r="N71" s="2">
        <v>10</v>
      </c>
      <c r="O71" s="19">
        <v>1</v>
      </c>
      <c r="P71" s="2">
        <v>3</v>
      </c>
      <c r="Q71" s="19">
        <v>4</v>
      </c>
      <c r="R71" s="19">
        <v>4.5</v>
      </c>
      <c r="S71" s="19">
        <v>4</v>
      </c>
      <c r="T71" s="19">
        <v>2</v>
      </c>
      <c r="U71" s="19">
        <v>1</v>
      </c>
      <c r="V71" s="19">
        <v>4</v>
      </c>
      <c r="W71" s="19">
        <v>4.5</v>
      </c>
      <c r="X71" s="19">
        <v>1</v>
      </c>
      <c r="Y71" s="19">
        <v>0</v>
      </c>
      <c r="Z71" s="19">
        <v>4</v>
      </c>
      <c r="AA71" s="19">
        <v>2</v>
      </c>
      <c r="AB71" s="19">
        <v>4</v>
      </c>
      <c r="AC71" s="19">
        <v>3.5</v>
      </c>
      <c r="AD71" s="19">
        <v>3</v>
      </c>
      <c r="AE71" s="19">
        <v>2</v>
      </c>
      <c r="AF71" s="7">
        <v>2</v>
      </c>
    </row>
    <row r="72" spans="1:32" ht="40" customHeight="1" x14ac:dyDescent="0.3">
      <c r="A72" s="20">
        <v>69</v>
      </c>
      <c r="B72" s="7" t="s">
        <v>137</v>
      </c>
      <c r="C72" s="23">
        <f t="shared" si="0"/>
        <v>2124730</v>
      </c>
      <c r="D72" s="19">
        <v>24</v>
      </c>
      <c r="E72" s="19">
        <v>12</v>
      </c>
      <c r="F72" s="19">
        <v>2</v>
      </c>
      <c r="G72" s="19">
        <v>1</v>
      </c>
      <c r="H72" s="19">
        <v>2</v>
      </c>
      <c r="I72" s="19">
        <v>2</v>
      </c>
      <c r="J72" s="19">
        <v>12</v>
      </c>
      <c r="K72" s="19" t="s">
        <v>115</v>
      </c>
      <c r="L72" s="19">
        <v>7.5</v>
      </c>
      <c r="M72" s="2" t="s">
        <v>22</v>
      </c>
      <c r="N72" s="2">
        <v>10</v>
      </c>
      <c r="O72" s="19">
        <v>1</v>
      </c>
      <c r="P72" s="2">
        <v>3.5</v>
      </c>
      <c r="Q72" s="19">
        <v>3.5</v>
      </c>
      <c r="R72" s="19">
        <v>3.5</v>
      </c>
      <c r="S72" s="19">
        <v>3</v>
      </c>
      <c r="T72" s="19">
        <v>2</v>
      </c>
      <c r="U72" s="19">
        <v>1</v>
      </c>
      <c r="V72" s="19">
        <v>3.5</v>
      </c>
      <c r="W72" s="19">
        <v>4</v>
      </c>
      <c r="X72" s="19">
        <v>1</v>
      </c>
      <c r="Y72" s="19">
        <v>0</v>
      </c>
      <c r="Z72" s="19">
        <v>3</v>
      </c>
      <c r="AA72" s="19">
        <v>2</v>
      </c>
      <c r="AB72" s="19">
        <v>3</v>
      </c>
      <c r="AC72" s="19">
        <v>3</v>
      </c>
      <c r="AD72" s="19">
        <v>2.5</v>
      </c>
      <c r="AE72" s="19">
        <v>2</v>
      </c>
      <c r="AF72" s="7">
        <v>2</v>
      </c>
    </row>
    <row r="73" spans="1:32" ht="40" customHeight="1" x14ac:dyDescent="0.3">
      <c r="A73" s="20">
        <v>70</v>
      </c>
      <c r="B73" s="7" t="s">
        <v>138</v>
      </c>
      <c r="C73" s="23">
        <f t="shared" si="0"/>
        <v>2124734</v>
      </c>
      <c r="D73" s="19">
        <v>23</v>
      </c>
      <c r="E73" s="19">
        <v>12</v>
      </c>
      <c r="F73" s="19">
        <v>1</v>
      </c>
      <c r="G73" s="19">
        <v>1</v>
      </c>
      <c r="H73" s="19">
        <v>1</v>
      </c>
      <c r="I73" s="19">
        <v>1</v>
      </c>
      <c r="J73" s="19">
        <v>12</v>
      </c>
      <c r="K73" s="19" t="s">
        <v>51</v>
      </c>
      <c r="L73" s="19">
        <v>5.5</v>
      </c>
      <c r="M73" s="19" t="s">
        <v>22</v>
      </c>
      <c r="N73" s="3">
        <v>9</v>
      </c>
      <c r="O73" s="19">
        <v>1</v>
      </c>
      <c r="P73" s="2">
        <v>4</v>
      </c>
      <c r="Q73" s="19">
        <v>4</v>
      </c>
      <c r="R73" s="19">
        <v>4</v>
      </c>
      <c r="S73" s="19">
        <v>4.5</v>
      </c>
      <c r="T73" s="19">
        <v>1</v>
      </c>
      <c r="U73" s="19">
        <v>1</v>
      </c>
      <c r="V73" s="19">
        <v>4</v>
      </c>
      <c r="W73" s="19">
        <v>4.5</v>
      </c>
      <c r="X73" s="19">
        <v>0</v>
      </c>
      <c r="Y73" s="19">
        <v>0</v>
      </c>
      <c r="Z73" s="19">
        <v>4</v>
      </c>
      <c r="AA73" s="19">
        <v>1</v>
      </c>
      <c r="AB73" s="19">
        <v>4.5</v>
      </c>
      <c r="AC73" s="19">
        <v>4.5</v>
      </c>
      <c r="AD73" s="19">
        <v>4</v>
      </c>
      <c r="AE73" s="19">
        <v>0</v>
      </c>
      <c r="AF73" s="7">
        <v>1</v>
      </c>
    </row>
    <row r="74" spans="1:32" ht="40" customHeight="1" x14ac:dyDescent="0.3">
      <c r="A74" s="20">
        <v>71</v>
      </c>
      <c r="B74" s="7" t="s">
        <v>139</v>
      </c>
      <c r="C74" s="23">
        <f t="shared" si="0"/>
        <v>2124738</v>
      </c>
      <c r="D74" s="19">
        <v>26</v>
      </c>
      <c r="E74" s="19">
        <v>11</v>
      </c>
      <c r="F74" s="19">
        <v>3</v>
      </c>
      <c r="G74" s="19">
        <v>1</v>
      </c>
      <c r="H74" s="19">
        <v>3</v>
      </c>
      <c r="I74" s="19">
        <v>2</v>
      </c>
      <c r="J74" s="19">
        <v>12</v>
      </c>
      <c r="K74" s="19" t="s">
        <v>12</v>
      </c>
      <c r="L74" s="19">
        <v>7</v>
      </c>
      <c r="M74" s="19" t="s">
        <v>11</v>
      </c>
      <c r="N74" s="2">
        <v>10.5</v>
      </c>
      <c r="O74" s="19">
        <v>1</v>
      </c>
      <c r="P74" s="2">
        <v>4</v>
      </c>
      <c r="Q74" s="19">
        <v>3.5</v>
      </c>
      <c r="R74" s="19">
        <v>4</v>
      </c>
      <c r="S74" s="19">
        <v>4</v>
      </c>
      <c r="T74" s="19">
        <v>1</v>
      </c>
      <c r="U74" s="19">
        <v>1</v>
      </c>
      <c r="V74" s="19">
        <v>4</v>
      </c>
      <c r="W74" s="19">
        <v>4</v>
      </c>
      <c r="X74" s="19">
        <v>1</v>
      </c>
      <c r="Y74" s="19">
        <v>0</v>
      </c>
      <c r="Z74" s="19">
        <v>4.5</v>
      </c>
      <c r="AA74" s="19">
        <v>1</v>
      </c>
      <c r="AB74" s="19">
        <v>3.5</v>
      </c>
      <c r="AC74" s="19">
        <v>4</v>
      </c>
      <c r="AD74" s="19">
        <v>3.5</v>
      </c>
      <c r="AE74" s="19">
        <v>2</v>
      </c>
      <c r="AF74" s="7">
        <v>1</v>
      </c>
    </row>
    <row r="75" spans="1:32" ht="40" customHeight="1" x14ac:dyDescent="0.3">
      <c r="A75" s="20">
        <v>72</v>
      </c>
      <c r="B75" s="7" t="s">
        <v>140</v>
      </c>
      <c r="C75" s="23">
        <f t="shared" si="0"/>
        <v>2124742</v>
      </c>
      <c r="D75" s="19">
        <v>29</v>
      </c>
      <c r="E75" s="19">
        <v>9</v>
      </c>
      <c r="F75" s="19">
        <v>6</v>
      </c>
      <c r="G75" s="19">
        <v>2</v>
      </c>
      <c r="H75" s="19">
        <v>2.5</v>
      </c>
      <c r="I75" s="19">
        <v>2.5</v>
      </c>
      <c r="J75" s="19">
        <v>29</v>
      </c>
      <c r="K75" s="19" t="s">
        <v>115</v>
      </c>
      <c r="L75" s="19">
        <v>7.5</v>
      </c>
      <c r="M75" s="2" t="s">
        <v>22</v>
      </c>
      <c r="N75" s="2">
        <v>10.5</v>
      </c>
      <c r="O75" s="19">
        <v>1</v>
      </c>
      <c r="P75" s="2">
        <v>3.5</v>
      </c>
      <c r="Q75" s="19">
        <v>4</v>
      </c>
      <c r="R75" s="19">
        <v>4.5</v>
      </c>
      <c r="S75" s="19">
        <v>4</v>
      </c>
      <c r="T75" s="19">
        <v>1</v>
      </c>
      <c r="U75" s="19">
        <v>1</v>
      </c>
      <c r="V75" s="19">
        <v>4.5</v>
      </c>
      <c r="W75" s="19">
        <v>5</v>
      </c>
      <c r="X75" s="19">
        <v>1</v>
      </c>
      <c r="Y75" s="19">
        <v>0</v>
      </c>
      <c r="Z75" s="19">
        <v>4</v>
      </c>
      <c r="AA75" s="19">
        <v>1</v>
      </c>
      <c r="AB75" s="19">
        <v>4.5</v>
      </c>
      <c r="AC75" s="19">
        <v>4</v>
      </c>
      <c r="AD75" s="19">
        <v>3</v>
      </c>
      <c r="AE75" s="19">
        <v>2</v>
      </c>
      <c r="AF75" s="7">
        <v>2</v>
      </c>
    </row>
    <row r="76" spans="1:32" ht="40" customHeight="1" x14ac:dyDescent="0.3">
      <c r="A76" s="20">
        <v>73</v>
      </c>
      <c r="B76" s="7" t="s">
        <v>141</v>
      </c>
      <c r="C76" s="23">
        <f t="shared" si="0"/>
        <v>2124746</v>
      </c>
      <c r="D76" s="19">
        <v>29</v>
      </c>
      <c r="E76" s="19">
        <v>10</v>
      </c>
      <c r="F76" s="19">
        <v>6</v>
      </c>
      <c r="G76" s="19">
        <v>2</v>
      </c>
      <c r="H76" s="19">
        <v>3</v>
      </c>
      <c r="I76" s="19">
        <v>2.5</v>
      </c>
      <c r="J76" s="19">
        <v>29</v>
      </c>
      <c r="K76" s="19" t="s">
        <v>114</v>
      </c>
      <c r="L76" s="19">
        <v>8</v>
      </c>
      <c r="M76" s="2" t="s">
        <v>22</v>
      </c>
      <c r="N76" s="2">
        <v>11</v>
      </c>
      <c r="O76" s="19">
        <v>1</v>
      </c>
      <c r="P76" s="2">
        <v>4</v>
      </c>
      <c r="Q76" s="19">
        <v>4.5</v>
      </c>
      <c r="R76" s="19">
        <v>4</v>
      </c>
      <c r="S76" s="19">
        <v>3.5</v>
      </c>
      <c r="T76" s="19">
        <v>1</v>
      </c>
      <c r="U76" s="19">
        <v>1</v>
      </c>
      <c r="V76" s="19">
        <v>3.5</v>
      </c>
      <c r="W76" s="19">
        <v>4.5</v>
      </c>
      <c r="X76" s="19">
        <v>1</v>
      </c>
      <c r="Y76" s="19">
        <v>0</v>
      </c>
      <c r="Z76" s="19">
        <v>3.5</v>
      </c>
      <c r="AA76" s="19">
        <v>2</v>
      </c>
      <c r="AB76" s="19">
        <v>4</v>
      </c>
      <c r="AC76" s="19">
        <v>3.5</v>
      </c>
      <c r="AD76" s="19">
        <v>3.5</v>
      </c>
      <c r="AE76" s="19">
        <v>2</v>
      </c>
      <c r="AF76" s="7">
        <v>2</v>
      </c>
    </row>
    <row r="77" spans="1:32" ht="40" customHeight="1" x14ac:dyDescent="0.3">
      <c r="A77" s="20">
        <v>74</v>
      </c>
      <c r="B77" s="7" t="s">
        <v>145</v>
      </c>
      <c r="C77" s="24">
        <f t="shared" si="0"/>
        <v>2124750</v>
      </c>
      <c r="D77" s="25">
        <v>31</v>
      </c>
      <c r="E77" s="25">
        <v>9</v>
      </c>
      <c r="F77" s="25">
        <v>7</v>
      </c>
      <c r="G77" s="25">
        <v>2</v>
      </c>
      <c r="H77" s="25">
        <v>3</v>
      </c>
      <c r="I77" s="25">
        <v>2.9</v>
      </c>
      <c r="J77" s="25">
        <v>33</v>
      </c>
      <c r="K77" s="25" t="s">
        <v>62</v>
      </c>
      <c r="L77" s="25">
        <v>6</v>
      </c>
      <c r="M77" s="26" t="s">
        <v>22</v>
      </c>
      <c r="N77" s="26">
        <v>10.5</v>
      </c>
      <c r="O77" s="25">
        <v>1</v>
      </c>
      <c r="P77" s="26">
        <v>3.5</v>
      </c>
      <c r="Q77" s="25">
        <v>4</v>
      </c>
      <c r="R77" s="25">
        <v>4.5</v>
      </c>
      <c r="S77" s="25">
        <v>4</v>
      </c>
      <c r="T77" s="25">
        <v>1</v>
      </c>
      <c r="U77" s="25">
        <v>1</v>
      </c>
      <c r="V77" s="25">
        <v>4</v>
      </c>
      <c r="W77" s="25">
        <v>4</v>
      </c>
      <c r="X77" s="25">
        <v>1</v>
      </c>
      <c r="Y77" s="25">
        <v>1</v>
      </c>
      <c r="Z77" s="25">
        <v>4</v>
      </c>
      <c r="AA77" s="25">
        <v>1</v>
      </c>
      <c r="AB77" s="25">
        <v>4</v>
      </c>
      <c r="AC77" s="25">
        <v>4.5</v>
      </c>
      <c r="AD77" s="25">
        <v>3</v>
      </c>
      <c r="AE77" s="25">
        <v>2</v>
      </c>
      <c r="AF77" s="7">
        <v>2</v>
      </c>
    </row>
    <row r="78" spans="1:32" ht="40" customHeight="1" x14ac:dyDescent="0.3">
      <c r="A78" s="20">
        <v>75</v>
      </c>
      <c r="B78" s="7" t="s">
        <v>146</v>
      </c>
      <c r="C78" s="24">
        <f t="shared" si="0"/>
        <v>2124754</v>
      </c>
      <c r="D78" s="25">
        <v>32</v>
      </c>
      <c r="E78" s="25">
        <v>9</v>
      </c>
      <c r="F78" s="25">
        <v>7.5</v>
      </c>
      <c r="G78" s="25">
        <v>2</v>
      </c>
      <c r="H78" s="25">
        <v>3.5</v>
      </c>
      <c r="I78" s="25">
        <v>2.5</v>
      </c>
      <c r="J78" s="25">
        <v>29</v>
      </c>
      <c r="K78" s="25" t="s">
        <v>115</v>
      </c>
      <c r="L78" s="25">
        <v>7.5</v>
      </c>
      <c r="M78" s="25" t="s">
        <v>11</v>
      </c>
      <c r="N78" s="26">
        <v>10</v>
      </c>
      <c r="O78" s="25">
        <v>1</v>
      </c>
      <c r="P78" s="26">
        <v>4</v>
      </c>
      <c r="Q78" s="25">
        <v>4</v>
      </c>
      <c r="R78" s="25">
        <v>4.5</v>
      </c>
      <c r="S78" s="25">
        <v>4</v>
      </c>
      <c r="T78" s="25">
        <v>1</v>
      </c>
      <c r="U78" s="25">
        <v>1</v>
      </c>
      <c r="V78" s="25">
        <v>4</v>
      </c>
      <c r="W78" s="25">
        <v>4.5</v>
      </c>
      <c r="X78" s="25">
        <v>1</v>
      </c>
      <c r="Y78" s="25">
        <v>0</v>
      </c>
      <c r="Z78" s="25">
        <v>4</v>
      </c>
      <c r="AA78" s="25">
        <v>1</v>
      </c>
      <c r="AB78" s="25">
        <v>4</v>
      </c>
      <c r="AC78" s="25">
        <v>4</v>
      </c>
      <c r="AD78" s="25">
        <v>3.5</v>
      </c>
      <c r="AE78" s="25">
        <v>2</v>
      </c>
      <c r="AF78" s="7">
        <v>1</v>
      </c>
    </row>
    <row r="79" spans="1:32" ht="40" customHeight="1" x14ac:dyDescent="0.3">
      <c r="A79" s="20">
        <v>76</v>
      </c>
      <c r="B79" s="7" t="s">
        <v>147</v>
      </c>
      <c r="C79" s="24">
        <f t="shared" si="0"/>
        <v>2124758</v>
      </c>
      <c r="D79" s="25">
        <v>30</v>
      </c>
      <c r="E79" s="25">
        <v>9</v>
      </c>
      <c r="F79" s="25">
        <v>8</v>
      </c>
      <c r="G79" s="25">
        <v>2</v>
      </c>
      <c r="H79" s="25">
        <v>4</v>
      </c>
      <c r="I79" s="25">
        <v>2.8</v>
      </c>
      <c r="J79" s="25">
        <v>32</v>
      </c>
      <c r="K79" s="25" t="s">
        <v>51</v>
      </c>
      <c r="L79" s="25">
        <v>8</v>
      </c>
      <c r="M79" s="25" t="s">
        <v>11</v>
      </c>
      <c r="N79" s="26">
        <v>11</v>
      </c>
      <c r="O79" s="25">
        <v>1</v>
      </c>
      <c r="P79" s="26">
        <v>4.5</v>
      </c>
      <c r="Q79" s="25">
        <v>4</v>
      </c>
      <c r="R79" s="25">
        <v>4</v>
      </c>
      <c r="S79" s="25">
        <v>4.5</v>
      </c>
      <c r="T79" s="25">
        <v>1</v>
      </c>
      <c r="U79" s="25">
        <v>1</v>
      </c>
      <c r="V79" s="25">
        <v>4</v>
      </c>
      <c r="W79" s="25">
        <v>4</v>
      </c>
      <c r="X79" s="25">
        <v>1</v>
      </c>
      <c r="Y79" s="25">
        <v>0</v>
      </c>
      <c r="Z79" s="25">
        <v>3.5</v>
      </c>
      <c r="AA79" s="25">
        <v>1</v>
      </c>
      <c r="AB79" s="25">
        <v>4</v>
      </c>
      <c r="AC79" s="25">
        <v>3.5</v>
      </c>
      <c r="AD79" s="25">
        <v>3.5</v>
      </c>
      <c r="AE79" s="25">
        <v>2</v>
      </c>
      <c r="AF79" s="7">
        <v>1</v>
      </c>
    </row>
    <row r="80" spans="1:32" ht="40" customHeight="1" x14ac:dyDescent="0.3">
      <c r="A80" s="20">
        <v>77</v>
      </c>
      <c r="B80" s="7" t="s">
        <v>148</v>
      </c>
      <c r="C80" s="24">
        <f t="shared" si="0"/>
        <v>2124762</v>
      </c>
      <c r="D80" s="25">
        <v>32</v>
      </c>
      <c r="E80" s="25">
        <v>9</v>
      </c>
      <c r="F80" s="25">
        <v>7.5</v>
      </c>
      <c r="G80" s="25">
        <v>2</v>
      </c>
      <c r="H80" s="25">
        <v>3</v>
      </c>
      <c r="I80" s="25">
        <v>2</v>
      </c>
      <c r="J80" s="25">
        <v>12</v>
      </c>
      <c r="K80" s="25" t="s">
        <v>114</v>
      </c>
      <c r="L80" s="25">
        <v>7</v>
      </c>
      <c r="M80" s="25" t="s">
        <v>11</v>
      </c>
      <c r="N80" s="26">
        <v>10.5</v>
      </c>
      <c r="O80" s="25">
        <v>1</v>
      </c>
      <c r="P80" s="25">
        <v>7</v>
      </c>
      <c r="Q80" s="25">
        <v>4.5</v>
      </c>
      <c r="R80" s="25">
        <v>4.5</v>
      </c>
      <c r="S80" s="25">
        <v>4</v>
      </c>
      <c r="T80" s="25">
        <v>1</v>
      </c>
      <c r="U80" s="25">
        <v>1</v>
      </c>
      <c r="V80" s="25">
        <v>4.5</v>
      </c>
      <c r="W80" s="25">
        <v>5</v>
      </c>
      <c r="X80" s="25">
        <v>1</v>
      </c>
      <c r="Y80" s="25">
        <v>1</v>
      </c>
      <c r="Z80" s="25">
        <v>4.5</v>
      </c>
      <c r="AA80" s="25">
        <v>1</v>
      </c>
      <c r="AB80" s="25">
        <v>5</v>
      </c>
      <c r="AC80" s="25">
        <v>4.5</v>
      </c>
      <c r="AD80" s="25">
        <v>3</v>
      </c>
      <c r="AE80" s="25">
        <v>2</v>
      </c>
      <c r="AF80" s="7">
        <v>1</v>
      </c>
    </row>
    <row r="81" spans="1:32" ht="40" customHeight="1" x14ac:dyDescent="0.3">
      <c r="A81" s="20">
        <v>78</v>
      </c>
      <c r="B81" s="7" t="s">
        <v>149</v>
      </c>
      <c r="C81" s="24">
        <f t="shared" si="0"/>
        <v>2124766</v>
      </c>
      <c r="D81" s="25">
        <v>33</v>
      </c>
      <c r="E81" s="25">
        <v>9</v>
      </c>
      <c r="F81" s="25">
        <v>8</v>
      </c>
      <c r="G81" s="25">
        <v>2</v>
      </c>
      <c r="H81" s="25">
        <v>4</v>
      </c>
      <c r="I81" s="25">
        <v>2.7</v>
      </c>
      <c r="J81" s="25">
        <v>31</v>
      </c>
      <c r="K81" s="25" t="s">
        <v>115</v>
      </c>
      <c r="L81" s="25">
        <v>5</v>
      </c>
      <c r="M81" s="25" t="s">
        <v>22</v>
      </c>
      <c r="N81" s="13">
        <v>9</v>
      </c>
      <c r="O81" s="25">
        <v>1</v>
      </c>
      <c r="P81" s="25">
        <v>7</v>
      </c>
      <c r="Q81" s="25">
        <v>5</v>
      </c>
      <c r="R81" s="25">
        <v>4</v>
      </c>
      <c r="S81" s="25">
        <v>4.5</v>
      </c>
      <c r="T81" s="25">
        <v>1</v>
      </c>
      <c r="U81" s="25">
        <v>1</v>
      </c>
      <c r="V81" s="25">
        <v>4</v>
      </c>
      <c r="W81" s="25">
        <v>5</v>
      </c>
      <c r="X81" s="25">
        <v>0</v>
      </c>
      <c r="Y81" s="25">
        <v>0</v>
      </c>
      <c r="Z81" s="25">
        <v>5</v>
      </c>
      <c r="AA81" s="25">
        <v>1</v>
      </c>
      <c r="AB81" s="25">
        <v>4.5</v>
      </c>
      <c r="AC81" s="25">
        <v>4</v>
      </c>
      <c r="AD81" s="25">
        <v>3.5</v>
      </c>
      <c r="AE81" s="25">
        <v>2</v>
      </c>
      <c r="AF81" s="7">
        <v>1</v>
      </c>
    </row>
    <row r="82" spans="1:32" ht="40" customHeight="1" x14ac:dyDescent="0.3">
      <c r="A82" s="20">
        <v>79</v>
      </c>
      <c r="B82" s="7" t="s">
        <v>150</v>
      </c>
      <c r="C82" s="24">
        <f t="shared" si="0"/>
        <v>2124770</v>
      </c>
      <c r="D82" s="25">
        <v>32</v>
      </c>
      <c r="E82" s="26">
        <v>9</v>
      </c>
      <c r="F82" s="25">
        <v>9</v>
      </c>
      <c r="G82" s="26">
        <v>3</v>
      </c>
      <c r="H82" s="25">
        <v>3</v>
      </c>
      <c r="I82" s="26">
        <v>3</v>
      </c>
      <c r="J82" s="26">
        <v>36</v>
      </c>
      <c r="K82" s="25" t="s">
        <v>12</v>
      </c>
      <c r="L82" s="25">
        <v>7</v>
      </c>
      <c r="M82" s="25" t="s">
        <v>11</v>
      </c>
      <c r="N82" s="26">
        <v>11</v>
      </c>
      <c r="O82" s="25">
        <v>1</v>
      </c>
      <c r="P82" s="25">
        <v>6</v>
      </c>
      <c r="Q82" s="26">
        <v>2</v>
      </c>
      <c r="R82" s="25">
        <v>3.5</v>
      </c>
      <c r="S82" s="26">
        <v>2</v>
      </c>
      <c r="T82" s="26">
        <v>0</v>
      </c>
      <c r="U82" s="26">
        <v>0</v>
      </c>
      <c r="V82" s="26">
        <v>2</v>
      </c>
      <c r="W82" s="25">
        <v>3.5</v>
      </c>
      <c r="X82" s="25">
        <v>1</v>
      </c>
      <c r="Y82" s="26">
        <v>0</v>
      </c>
      <c r="Z82" s="26">
        <v>2</v>
      </c>
      <c r="AA82" s="25">
        <v>2</v>
      </c>
      <c r="AB82" s="25">
        <v>3</v>
      </c>
      <c r="AC82" s="26">
        <v>2</v>
      </c>
      <c r="AD82" s="26">
        <v>1.5</v>
      </c>
      <c r="AE82" s="26">
        <v>1</v>
      </c>
      <c r="AF82" s="7">
        <v>4</v>
      </c>
    </row>
    <row r="83" spans="1:32" ht="40" customHeight="1" x14ac:dyDescent="0.3">
      <c r="A83" s="20">
        <v>80</v>
      </c>
      <c r="B83" s="7" t="s">
        <v>151</v>
      </c>
      <c r="C83" s="24">
        <f t="shared" si="0"/>
        <v>2124774</v>
      </c>
      <c r="D83" s="25">
        <v>36</v>
      </c>
      <c r="E83" s="25">
        <v>8</v>
      </c>
      <c r="F83" s="25">
        <v>10</v>
      </c>
      <c r="G83" s="25">
        <v>2</v>
      </c>
      <c r="H83" s="25">
        <v>5</v>
      </c>
      <c r="I83" s="25">
        <v>2.5</v>
      </c>
      <c r="J83" s="25">
        <v>29</v>
      </c>
      <c r="K83" s="25" t="s">
        <v>115</v>
      </c>
      <c r="L83" s="25">
        <v>6</v>
      </c>
      <c r="M83" s="25" t="s">
        <v>11</v>
      </c>
      <c r="N83" s="26">
        <v>10.5</v>
      </c>
      <c r="O83" s="25">
        <v>1</v>
      </c>
      <c r="P83" s="25">
        <v>6</v>
      </c>
      <c r="Q83" s="25">
        <v>4</v>
      </c>
      <c r="R83" s="25">
        <v>4.5</v>
      </c>
      <c r="S83" s="25">
        <v>4</v>
      </c>
      <c r="T83" s="25">
        <v>1</v>
      </c>
      <c r="U83" s="25">
        <v>1</v>
      </c>
      <c r="V83" s="25">
        <v>4.5</v>
      </c>
      <c r="W83" s="25">
        <v>5</v>
      </c>
      <c r="X83" s="25">
        <v>1</v>
      </c>
      <c r="Y83" s="25">
        <v>1</v>
      </c>
      <c r="Z83" s="25">
        <v>4.5</v>
      </c>
      <c r="AA83" s="25">
        <v>1</v>
      </c>
      <c r="AB83" s="25">
        <v>5</v>
      </c>
      <c r="AC83" s="25">
        <v>4</v>
      </c>
      <c r="AD83" s="25">
        <v>3.5</v>
      </c>
      <c r="AE83" s="25">
        <v>2</v>
      </c>
      <c r="AF83" s="7">
        <v>1</v>
      </c>
    </row>
    <row r="84" spans="1:32" ht="40" customHeight="1" x14ac:dyDescent="0.3">
      <c r="A84" s="20">
        <v>81</v>
      </c>
      <c r="B84" s="7" t="s">
        <v>152</v>
      </c>
      <c r="C84" s="24">
        <f t="shared" si="0"/>
        <v>2124778</v>
      </c>
      <c r="D84" s="25">
        <v>37</v>
      </c>
      <c r="E84" s="25">
        <v>8</v>
      </c>
      <c r="F84" s="25">
        <v>11</v>
      </c>
      <c r="G84" s="25">
        <v>2</v>
      </c>
      <c r="H84" s="25">
        <v>4.5</v>
      </c>
      <c r="I84" s="25">
        <v>2.8</v>
      </c>
      <c r="J84" s="25">
        <v>32</v>
      </c>
      <c r="K84" s="25" t="s">
        <v>56</v>
      </c>
      <c r="L84" s="25">
        <v>10</v>
      </c>
      <c r="M84" s="25" t="s">
        <v>11</v>
      </c>
      <c r="N84" s="26">
        <v>10.5</v>
      </c>
      <c r="O84" s="25">
        <v>1</v>
      </c>
      <c r="P84" s="25">
        <v>6</v>
      </c>
      <c r="Q84" s="25">
        <v>4.5</v>
      </c>
      <c r="R84" s="25">
        <v>4.5</v>
      </c>
      <c r="S84" s="25">
        <v>5</v>
      </c>
      <c r="T84" s="25">
        <v>1</v>
      </c>
      <c r="U84" s="25">
        <v>1</v>
      </c>
      <c r="V84" s="25">
        <v>5</v>
      </c>
      <c r="W84" s="25">
        <v>5</v>
      </c>
      <c r="X84" s="25">
        <v>1</v>
      </c>
      <c r="Y84" s="25">
        <v>0</v>
      </c>
      <c r="Z84" s="25">
        <v>4.5</v>
      </c>
      <c r="AA84" s="25">
        <v>1</v>
      </c>
      <c r="AB84" s="25">
        <v>5</v>
      </c>
      <c r="AC84" s="25">
        <v>4</v>
      </c>
      <c r="AD84" s="25">
        <v>3.5</v>
      </c>
      <c r="AE84" s="25">
        <v>2</v>
      </c>
      <c r="AF84" s="7">
        <v>1</v>
      </c>
    </row>
    <row r="85" spans="1:32" ht="40" customHeight="1" x14ac:dyDescent="0.3">
      <c r="A85" s="20">
        <v>82</v>
      </c>
      <c r="B85" s="7" t="s">
        <v>153</v>
      </c>
      <c r="C85" s="24">
        <f t="shared" si="0"/>
        <v>2124782</v>
      </c>
      <c r="D85" s="25">
        <v>38</v>
      </c>
      <c r="E85" s="25">
        <v>8</v>
      </c>
      <c r="F85" s="25">
        <v>10.5</v>
      </c>
      <c r="G85" s="25">
        <v>2</v>
      </c>
      <c r="H85" s="25">
        <v>4</v>
      </c>
      <c r="I85" s="25">
        <v>2.9</v>
      </c>
      <c r="J85" s="25">
        <v>32</v>
      </c>
      <c r="K85" s="25" t="s">
        <v>47</v>
      </c>
      <c r="L85" s="25">
        <v>8</v>
      </c>
      <c r="M85" s="25" t="s">
        <v>11</v>
      </c>
      <c r="N85" s="26">
        <v>10</v>
      </c>
      <c r="O85" s="25">
        <v>1</v>
      </c>
      <c r="P85" s="25">
        <v>6</v>
      </c>
      <c r="Q85" s="25">
        <v>5</v>
      </c>
      <c r="R85" s="25">
        <v>5</v>
      </c>
      <c r="S85" s="25">
        <v>4.5</v>
      </c>
      <c r="T85" s="25">
        <v>1</v>
      </c>
      <c r="U85" s="25">
        <v>1</v>
      </c>
      <c r="V85" s="25">
        <v>4.5</v>
      </c>
      <c r="W85" s="25">
        <v>5</v>
      </c>
      <c r="X85" s="25">
        <v>1</v>
      </c>
      <c r="Y85" s="25">
        <v>0</v>
      </c>
      <c r="Z85" s="25">
        <v>4.5</v>
      </c>
      <c r="AA85" s="25">
        <v>1</v>
      </c>
      <c r="AB85" s="25">
        <v>5</v>
      </c>
      <c r="AC85" s="25">
        <v>5</v>
      </c>
      <c r="AD85" s="25">
        <v>4</v>
      </c>
      <c r="AE85" s="25">
        <v>2</v>
      </c>
      <c r="AF85" s="7">
        <v>1</v>
      </c>
    </row>
    <row r="86" spans="1:32" ht="40" customHeight="1" x14ac:dyDescent="0.3">
      <c r="A86" s="20">
        <v>83</v>
      </c>
      <c r="B86" s="7" t="s">
        <v>154</v>
      </c>
      <c r="C86" s="24">
        <f t="shared" si="0"/>
        <v>2124786</v>
      </c>
      <c r="D86" s="25">
        <v>37</v>
      </c>
      <c r="E86" s="25">
        <v>8</v>
      </c>
      <c r="F86" s="25">
        <v>10</v>
      </c>
      <c r="G86" s="25">
        <v>2</v>
      </c>
      <c r="H86" s="25">
        <v>5</v>
      </c>
      <c r="I86" s="25">
        <v>2.5</v>
      </c>
      <c r="J86" s="25">
        <v>29</v>
      </c>
      <c r="K86" s="25" t="s">
        <v>115</v>
      </c>
      <c r="L86" s="25">
        <v>6</v>
      </c>
      <c r="M86" s="25" t="s">
        <v>11</v>
      </c>
      <c r="N86" s="26">
        <v>11</v>
      </c>
      <c r="O86" s="25">
        <v>1</v>
      </c>
      <c r="P86" s="25">
        <v>6</v>
      </c>
      <c r="Q86" s="25">
        <v>4.5</v>
      </c>
      <c r="R86" s="25">
        <v>5</v>
      </c>
      <c r="S86" s="25">
        <v>5</v>
      </c>
      <c r="T86" s="25">
        <v>1</v>
      </c>
      <c r="U86" s="25">
        <v>1</v>
      </c>
      <c r="V86" s="25">
        <v>5</v>
      </c>
      <c r="W86" s="25">
        <v>5</v>
      </c>
      <c r="X86" s="25">
        <v>1</v>
      </c>
      <c r="Y86" s="25">
        <v>1</v>
      </c>
      <c r="Z86" s="25">
        <v>5</v>
      </c>
      <c r="AA86" s="25">
        <v>1</v>
      </c>
      <c r="AB86" s="25">
        <v>5</v>
      </c>
      <c r="AC86" s="25">
        <v>4.5</v>
      </c>
      <c r="AD86" s="25">
        <v>4.5</v>
      </c>
      <c r="AE86" s="25">
        <v>2</v>
      </c>
      <c r="AF86" s="7">
        <v>1</v>
      </c>
    </row>
    <row r="87" spans="1:32" ht="40" customHeight="1" x14ac:dyDescent="0.3">
      <c r="A87" s="20">
        <v>84</v>
      </c>
      <c r="B87" s="7" t="s">
        <v>155</v>
      </c>
      <c r="C87" s="24">
        <f t="shared" si="0"/>
        <v>2124790</v>
      </c>
      <c r="D87" s="25">
        <v>39</v>
      </c>
      <c r="E87" s="25">
        <v>8</v>
      </c>
      <c r="F87" s="25">
        <v>10.5</v>
      </c>
      <c r="G87" s="25">
        <v>2</v>
      </c>
      <c r="H87" s="25">
        <v>4.5</v>
      </c>
      <c r="I87" s="25">
        <v>2</v>
      </c>
      <c r="J87" s="25">
        <v>12</v>
      </c>
      <c r="K87" s="25" t="s">
        <v>164</v>
      </c>
      <c r="L87" s="25">
        <v>4.5</v>
      </c>
      <c r="M87" s="25" t="s">
        <v>11</v>
      </c>
      <c r="N87" s="13">
        <v>9</v>
      </c>
      <c r="O87" s="25">
        <v>1</v>
      </c>
      <c r="P87" s="25">
        <v>6</v>
      </c>
      <c r="Q87" s="25">
        <v>4.5</v>
      </c>
      <c r="R87" s="25">
        <v>5</v>
      </c>
      <c r="S87" s="25">
        <v>5</v>
      </c>
      <c r="T87" s="25">
        <v>1</v>
      </c>
      <c r="U87" s="25">
        <v>1</v>
      </c>
      <c r="V87" s="25">
        <v>5</v>
      </c>
      <c r="W87" s="25">
        <v>5</v>
      </c>
      <c r="X87" s="25">
        <v>1</v>
      </c>
      <c r="Y87" s="25">
        <v>1</v>
      </c>
      <c r="Z87" s="25">
        <v>5</v>
      </c>
      <c r="AA87" s="25">
        <v>1</v>
      </c>
      <c r="AB87" s="25">
        <v>5</v>
      </c>
      <c r="AC87" s="25">
        <v>4.5</v>
      </c>
      <c r="AD87" s="25">
        <v>4</v>
      </c>
      <c r="AE87" s="25">
        <v>2</v>
      </c>
      <c r="AF87" s="7">
        <v>1</v>
      </c>
    </row>
    <row r="88" spans="1:32" ht="40" customHeight="1" x14ac:dyDescent="0.3">
      <c r="A88" s="20">
        <v>85</v>
      </c>
      <c r="B88" s="7" t="s">
        <v>156</v>
      </c>
      <c r="C88" s="24">
        <f t="shared" si="0"/>
        <v>2124794</v>
      </c>
      <c r="D88" s="25">
        <v>38</v>
      </c>
      <c r="E88" s="26">
        <v>8</v>
      </c>
      <c r="F88" s="25">
        <v>11</v>
      </c>
      <c r="G88" s="26">
        <v>3</v>
      </c>
      <c r="H88" s="25">
        <v>3.5</v>
      </c>
      <c r="I88" s="26">
        <v>3</v>
      </c>
      <c r="J88" s="26">
        <v>36</v>
      </c>
      <c r="K88" s="25" t="s">
        <v>47</v>
      </c>
      <c r="L88" s="25">
        <v>7.5</v>
      </c>
      <c r="M88" s="25" t="s">
        <v>11</v>
      </c>
      <c r="N88" s="26">
        <v>10</v>
      </c>
      <c r="O88" s="25">
        <v>1</v>
      </c>
      <c r="P88" s="26">
        <v>3</v>
      </c>
      <c r="Q88" s="25">
        <v>4.5</v>
      </c>
      <c r="R88" s="25">
        <v>5</v>
      </c>
      <c r="S88" s="25">
        <v>4.5</v>
      </c>
      <c r="T88" s="25">
        <v>1</v>
      </c>
      <c r="U88" s="26">
        <v>0</v>
      </c>
      <c r="V88" s="25">
        <v>4</v>
      </c>
      <c r="W88" s="25">
        <v>4.5</v>
      </c>
      <c r="X88" s="25">
        <v>1</v>
      </c>
      <c r="Y88" s="26">
        <v>0</v>
      </c>
      <c r="Z88" s="25">
        <v>3.5</v>
      </c>
      <c r="AA88" s="25">
        <v>1</v>
      </c>
      <c r="AB88" s="25">
        <v>4.5</v>
      </c>
      <c r="AC88" s="25">
        <v>3</v>
      </c>
      <c r="AD88" s="25">
        <v>3</v>
      </c>
      <c r="AE88" s="26">
        <v>1</v>
      </c>
      <c r="AF88" s="7">
        <v>3</v>
      </c>
    </row>
    <row r="89" spans="1:32" ht="40" customHeight="1" x14ac:dyDescent="0.3">
      <c r="A89" s="20">
        <v>86</v>
      </c>
      <c r="B89" s="7" t="s">
        <v>157</v>
      </c>
      <c r="C89" s="24">
        <f t="shared" si="0"/>
        <v>2124798</v>
      </c>
      <c r="D89" s="25">
        <v>39</v>
      </c>
      <c r="E89" s="25">
        <v>7</v>
      </c>
      <c r="F89" s="25">
        <v>12</v>
      </c>
      <c r="G89" s="26">
        <v>3</v>
      </c>
      <c r="H89" s="25">
        <v>4.5</v>
      </c>
      <c r="I89" s="25">
        <v>3.5</v>
      </c>
      <c r="J89" s="25">
        <v>28</v>
      </c>
      <c r="K89" s="25" t="s">
        <v>142</v>
      </c>
      <c r="L89" s="25">
        <v>5</v>
      </c>
      <c r="M89" s="25" t="s">
        <v>11</v>
      </c>
      <c r="N89" s="26">
        <v>10</v>
      </c>
      <c r="O89" s="25">
        <v>1</v>
      </c>
      <c r="P89" s="26">
        <v>5</v>
      </c>
      <c r="Q89" s="25">
        <v>5</v>
      </c>
      <c r="R89" s="25">
        <v>5</v>
      </c>
      <c r="S89" s="25">
        <v>4.5</v>
      </c>
      <c r="T89" s="25">
        <v>1</v>
      </c>
      <c r="U89" s="25">
        <v>1</v>
      </c>
      <c r="V89" s="25">
        <v>5</v>
      </c>
      <c r="W89" s="25">
        <v>5</v>
      </c>
      <c r="X89" s="25">
        <v>1</v>
      </c>
      <c r="Y89" s="26">
        <v>0</v>
      </c>
      <c r="Z89" s="25">
        <v>4.5</v>
      </c>
      <c r="AA89" s="25">
        <v>1</v>
      </c>
      <c r="AB89" s="25">
        <v>5</v>
      </c>
      <c r="AC89" s="25">
        <v>4</v>
      </c>
      <c r="AD89" s="25">
        <v>3.5</v>
      </c>
      <c r="AE89" s="25">
        <v>2</v>
      </c>
      <c r="AF89" s="7">
        <v>2</v>
      </c>
    </row>
    <row r="90" spans="1:32" ht="40" customHeight="1" x14ac:dyDescent="0.3">
      <c r="A90" s="20">
        <v>87</v>
      </c>
      <c r="B90" s="7" t="s">
        <v>158</v>
      </c>
      <c r="C90" s="24">
        <f t="shared" si="0"/>
        <v>2124802</v>
      </c>
      <c r="D90" s="25">
        <v>40</v>
      </c>
      <c r="E90" s="25">
        <v>7</v>
      </c>
      <c r="F90" s="25">
        <v>11</v>
      </c>
      <c r="G90" s="25">
        <v>2</v>
      </c>
      <c r="H90" s="25">
        <v>5</v>
      </c>
      <c r="I90" s="25">
        <v>4</v>
      </c>
      <c r="J90" s="25">
        <v>30</v>
      </c>
      <c r="K90" s="25" t="s">
        <v>143</v>
      </c>
      <c r="L90" s="25">
        <v>10</v>
      </c>
      <c r="M90" s="26" t="s">
        <v>22</v>
      </c>
      <c r="N90" s="26">
        <v>10.5</v>
      </c>
      <c r="O90" s="25">
        <v>1</v>
      </c>
      <c r="P90" s="25">
        <v>6</v>
      </c>
      <c r="Q90" s="25">
        <v>4.5</v>
      </c>
      <c r="R90" s="25">
        <v>5</v>
      </c>
      <c r="S90" s="25">
        <v>5</v>
      </c>
      <c r="T90" s="25">
        <v>1</v>
      </c>
      <c r="U90" s="25">
        <v>1</v>
      </c>
      <c r="V90" s="25">
        <v>4.5</v>
      </c>
      <c r="W90" s="25">
        <v>5</v>
      </c>
      <c r="X90" s="25">
        <v>1</v>
      </c>
      <c r="Y90" s="25">
        <v>1</v>
      </c>
      <c r="Z90" s="25">
        <v>5</v>
      </c>
      <c r="AA90" s="25">
        <v>1</v>
      </c>
      <c r="AB90" s="25">
        <v>5</v>
      </c>
      <c r="AC90" s="25">
        <v>4</v>
      </c>
      <c r="AD90" s="25">
        <v>3</v>
      </c>
      <c r="AE90" s="25">
        <v>2</v>
      </c>
      <c r="AF90" s="7">
        <v>1</v>
      </c>
    </row>
    <row r="91" spans="1:32" ht="40" customHeight="1" x14ac:dyDescent="0.3">
      <c r="A91" s="20">
        <v>88</v>
      </c>
      <c r="B91" s="7" t="s">
        <v>159</v>
      </c>
      <c r="C91" s="24">
        <f t="shared" si="0"/>
        <v>2124806</v>
      </c>
      <c r="D91" s="25">
        <v>41</v>
      </c>
      <c r="E91" s="25">
        <v>7</v>
      </c>
      <c r="F91" s="25">
        <v>12</v>
      </c>
      <c r="G91" s="25">
        <v>2</v>
      </c>
      <c r="H91" s="25">
        <v>5.5</v>
      </c>
      <c r="I91" s="25">
        <v>4</v>
      </c>
      <c r="J91" s="25">
        <v>32</v>
      </c>
      <c r="K91" s="25" t="s">
        <v>54</v>
      </c>
      <c r="L91" s="26">
        <v>15</v>
      </c>
      <c r="M91" s="25" t="s">
        <v>11</v>
      </c>
      <c r="N91" s="26">
        <v>11</v>
      </c>
      <c r="O91" s="25">
        <v>1</v>
      </c>
      <c r="P91" s="25">
        <v>7</v>
      </c>
      <c r="Q91" s="25">
        <v>5</v>
      </c>
      <c r="R91" s="25">
        <v>5</v>
      </c>
      <c r="S91" s="25">
        <v>4.5</v>
      </c>
      <c r="T91" s="25">
        <v>1</v>
      </c>
      <c r="U91" s="25">
        <v>1</v>
      </c>
      <c r="V91" s="25">
        <v>5</v>
      </c>
      <c r="W91" s="25">
        <v>5</v>
      </c>
      <c r="X91" s="25">
        <v>1</v>
      </c>
      <c r="Y91" s="25">
        <v>1.5</v>
      </c>
      <c r="Z91" s="25">
        <v>4</v>
      </c>
      <c r="AA91" s="25">
        <v>1</v>
      </c>
      <c r="AB91" s="25">
        <v>4.5</v>
      </c>
      <c r="AC91" s="25">
        <v>5</v>
      </c>
      <c r="AD91" s="25">
        <v>2.5</v>
      </c>
      <c r="AE91" s="25">
        <v>2</v>
      </c>
      <c r="AF91" s="7">
        <v>1</v>
      </c>
    </row>
    <row r="92" spans="1:32" ht="40" customHeight="1" x14ac:dyDescent="0.3">
      <c r="A92" s="20">
        <v>89</v>
      </c>
      <c r="B92" s="7" t="s">
        <v>160</v>
      </c>
      <c r="C92" s="24">
        <f t="shared" si="0"/>
        <v>2124810</v>
      </c>
      <c r="D92" s="25">
        <v>39</v>
      </c>
      <c r="E92" s="25">
        <v>7</v>
      </c>
      <c r="F92" s="25">
        <v>11.5</v>
      </c>
      <c r="G92" s="26">
        <v>3</v>
      </c>
      <c r="H92" s="25">
        <v>6</v>
      </c>
      <c r="I92" s="25">
        <v>4.5</v>
      </c>
      <c r="J92" s="25">
        <v>29</v>
      </c>
      <c r="K92" s="25" t="s">
        <v>144</v>
      </c>
      <c r="L92" s="26">
        <v>12</v>
      </c>
      <c r="M92" s="26" t="s">
        <v>49</v>
      </c>
      <c r="N92" s="26">
        <v>10</v>
      </c>
      <c r="O92" s="25">
        <v>1</v>
      </c>
      <c r="P92" s="25">
        <v>7</v>
      </c>
      <c r="Q92" s="25">
        <v>5</v>
      </c>
      <c r="R92" s="25">
        <v>5</v>
      </c>
      <c r="S92" s="25">
        <v>5</v>
      </c>
      <c r="T92" s="25">
        <v>1</v>
      </c>
      <c r="U92" s="25">
        <v>1</v>
      </c>
      <c r="V92" s="25">
        <v>4</v>
      </c>
      <c r="W92" s="25">
        <v>5</v>
      </c>
      <c r="X92" s="25">
        <v>1</v>
      </c>
      <c r="Y92" s="25">
        <v>1</v>
      </c>
      <c r="Z92" s="25">
        <v>4</v>
      </c>
      <c r="AA92" s="25">
        <v>1</v>
      </c>
      <c r="AB92" s="25">
        <v>5</v>
      </c>
      <c r="AC92" s="25">
        <v>4</v>
      </c>
      <c r="AD92" s="25">
        <v>4</v>
      </c>
      <c r="AE92" s="25">
        <v>2</v>
      </c>
      <c r="AF92" s="7">
        <v>2</v>
      </c>
    </row>
    <row r="93" spans="1:32" ht="40" customHeight="1" x14ac:dyDescent="0.3">
      <c r="A93" s="20">
        <v>90</v>
      </c>
      <c r="B93" s="7" t="s">
        <v>161</v>
      </c>
      <c r="C93" s="24">
        <f t="shared" si="0"/>
        <v>2124814</v>
      </c>
      <c r="D93" s="25">
        <v>42</v>
      </c>
      <c r="E93" s="25">
        <v>7</v>
      </c>
      <c r="F93" s="25">
        <v>13</v>
      </c>
      <c r="G93" s="26">
        <v>4</v>
      </c>
      <c r="H93" s="25">
        <v>5.5</v>
      </c>
      <c r="I93" s="25">
        <v>4</v>
      </c>
      <c r="J93" s="25">
        <v>20</v>
      </c>
      <c r="K93" s="25" t="s">
        <v>76</v>
      </c>
      <c r="L93" s="25">
        <v>9.5</v>
      </c>
      <c r="M93" s="26" t="s">
        <v>22</v>
      </c>
      <c r="N93" s="26">
        <v>10</v>
      </c>
      <c r="O93" s="25">
        <v>1</v>
      </c>
      <c r="P93" s="25">
        <v>6</v>
      </c>
      <c r="Q93" s="25">
        <v>4.5</v>
      </c>
      <c r="R93" s="25">
        <v>5</v>
      </c>
      <c r="S93" s="25">
        <v>5</v>
      </c>
      <c r="T93" s="25">
        <v>1</v>
      </c>
      <c r="U93" s="25">
        <v>1</v>
      </c>
      <c r="V93" s="25">
        <v>4.5</v>
      </c>
      <c r="W93" s="25">
        <v>5</v>
      </c>
      <c r="X93" s="25">
        <v>1</v>
      </c>
      <c r="Y93" s="25">
        <v>2</v>
      </c>
      <c r="Z93" s="25">
        <v>4.5</v>
      </c>
      <c r="AA93" s="25">
        <v>1</v>
      </c>
      <c r="AB93" s="25">
        <v>4.5</v>
      </c>
      <c r="AC93" s="25">
        <v>3.5</v>
      </c>
      <c r="AD93" s="25">
        <v>3</v>
      </c>
      <c r="AE93" s="25">
        <v>2</v>
      </c>
      <c r="AF93" s="7">
        <v>2</v>
      </c>
    </row>
    <row r="94" spans="1:32" ht="40" customHeight="1" x14ac:dyDescent="0.3">
      <c r="A94" s="20">
        <v>91</v>
      </c>
      <c r="B94" s="7" t="s">
        <v>162</v>
      </c>
      <c r="C94" s="24">
        <f t="shared" si="0"/>
        <v>2124818</v>
      </c>
      <c r="D94" s="25">
        <v>41</v>
      </c>
      <c r="E94" s="25">
        <v>7</v>
      </c>
      <c r="F94" s="25">
        <v>12</v>
      </c>
      <c r="G94" s="26">
        <v>3</v>
      </c>
      <c r="H94" s="25">
        <v>5.8</v>
      </c>
      <c r="I94" s="25">
        <v>5</v>
      </c>
      <c r="J94" s="25">
        <v>18</v>
      </c>
      <c r="K94" s="25" t="s">
        <v>163</v>
      </c>
      <c r="L94" s="26">
        <v>15</v>
      </c>
      <c r="M94" s="25" t="s">
        <v>11</v>
      </c>
      <c r="N94" s="26">
        <v>10.5</v>
      </c>
      <c r="O94" s="25">
        <v>1</v>
      </c>
      <c r="P94" s="25">
        <v>6</v>
      </c>
      <c r="Q94" s="25">
        <v>4.5</v>
      </c>
      <c r="R94" s="25">
        <v>5</v>
      </c>
      <c r="S94" s="25">
        <v>5</v>
      </c>
      <c r="T94" s="25">
        <v>1</v>
      </c>
      <c r="U94" s="26">
        <v>0</v>
      </c>
      <c r="V94" s="25">
        <v>4</v>
      </c>
      <c r="W94" s="25">
        <v>5</v>
      </c>
      <c r="X94" s="25">
        <v>1</v>
      </c>
      <c r="Y94" s="25">
        <v>1</v>
      </c>
      <c r="Z94" s="25">
        <v>4</v>
      </c>
      <c r="AA94" s="25">
        <v>1</v>
      </c>
      <c r="AB94" s="25">
        <v>5</v>
      </c>
      <c r="AC94" s="25">
        <v>4</v>
      </c>
      <c r="AD94" s="25">
        <v>2.5</v>
      </c>
      <c r="AE94" s="25">
        <v>2</v>
      </c>
      <c r="AF94" s="7">
        <v>2</v>
      </c>
    </row>
    <row r="95" spans="1:32" ht="40" customHeight="1" x14ac:dyDescent="0.3">
      <c r="A95" s="20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3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</row>
    <row r="96" spans="1:32" ht="40" customHeight="1" x14ac:dyDescent="0.3">
      <c r="A96" s="20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3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</row>
    <row r="97" spans="1:32" ht="40" customHeight="1" x14ac:dyDescent="0.3">
      <c r="A97" s="20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3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</row>
    <row r="98" spans="1:32" ht="40" customHeight="1" x14ac:dyDescent="0.3">
      <c r="A98" s="7"/>
      <c r="B98" s="14"/>
      <c r="C98" s="14"/>
      <c r="D98" s="14"/>
      <c r="E98" s="14"/>
      <c r="F98" s="14"/>
      <c r="G98" s="14"/>
      <c r="H98" s="14"/>
      <c r="I98" s="14"/>
      <c r="J98" s="14"/>
      <c r="K98" s="14"/>
      <c r="L98" s="14"/>
      <c r="M98" s="14"/>
      <c r="N98" s="15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  <c r="Z98" s="14"/>
      <c r="AA98" s="14"/>
      <c r="AB98" s="14"/>
      <c r="AC98" s="14"/>
      <c r="AD98" s="14"/>
      <c r="AE98" s="14"/>
      <c r="AF98" s="14"/>
    </row>
    <row r="99" spans="1:32" ht="40" customHeight="1" x14ac:dyDescent="0.3">
      <c r="A99" s="7"/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3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</row>
    <row r="100" spans="1:32" ht="40" customHeight="1" x14ac:dyDescent="0.3">
      <c r="A100" s="7"/>
      <c r="B100" s="7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3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</row>
    <row r="101" spans="1:32" ht="40" customHeight="1" x14ac:dyDescent="0.3">
      <c r="A101" s="7"/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3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</row>
  </sheetData>
  <autoFilter ref="A2:AF53" xr:uid="{90EABA38-4C92-4DB9-A5B6-63EE84E5A3B1}"/>
  <mergeCells count="4">
    <mergeCell ref="B1:M1"/>
    <mergeCell ref="N1:V1"/>
    <mergeCell ref="W1:AB1"/>
    <mergeCell ref="AC1:AE1"/>
  </mergeCells>
  <conditionalFormatting sqref="J1:J53 E1:E53 E95:E1048576 J95:J1048576">
    <cfRule type="expression" dxfId="85" priority="102">
      <formula>$J1&gt;=36</formula>
    </cfRule>
  </conditionalFormatting>
  <conditionalFormatting sqref="G1:G53 G95:G1048576">
    <cfRule type="expression" dxfId="84" priority="101">
      <formula>$G1&gt;=3</formula>
    </cfRule>
  </conditionalFormatting>
  <conditionalFormatting sqref="L1:L53 L95:L1048576">
    <cfRule type="expression" dxfId="83" priority="99">
      <formula>$L1&gt;10</formula>
    </cfRule>
  </conditionalFormatting>
  <conditionalFormatting sqref="O1:O53 O95:O1048576">
    <cfRule type="expression" dxfId="82" priority="96">
      <formula>$O1=0</formula>
    </cfRule>
  </conditionalFormatting>
  <conditionalFormatting sqref="P1:P53 P95:P1048576">
    <cfRule type="expression" dxfId="81" priority="95">
      <formula>$P1&lt;=5</formula>
    </cfRule>
  </conditionalFormatting>
  <conditionalFormatting sqref="Q1:Q53 Q95:Q1048576">
    <cfRule type="expression" dxfId="80" priority="94">
      <formula>$Q1&lt;=2</formula>
    </cfRule>
  </conditionalFormatting>
  <conditionalFormatting sqref="R1:R53 R95:R1048576">
    <cfRule type="expression" dxfId="79" priority="93">
      <formula>$R1&lt;=2</formula>
    </cfRule>
  </conditionalFormatting>
  <conditionalFormatting sqref="S1:S53 S95:S1048576">
    <cfRule type="expression" dxfId="78" priority="92">
      <formula>$S1&lt;=2</formula>
    </cfRule>
  </conditionalFormatting>
  <conditionalFormatting sqref="U1:U53 U95:U1048576">
    <cfRule type="expression" dxfId="77" priority="91">
      <formula>$U1=0</formula>
    </cfRule>
  </conditionalFormatting>
  <conditionalFormatting sqref="V1:V53 V95:V1048576">
    <cfRule type="expression" dxfId="76" priority="89">
      <formula>$V1&lt;=2</formula>
    </cfRule>
  </conditionalFormatting>
  <conditionalFormatting sqref="T1:T53 T95:T1048576">
    <cfRule type="expression" dxfId="75" priority="88">
      <formula>$T1=0</formula>
    </cfRule>
  </conditionalFormatting>
  <conditionalFormatting sqref="W1 W3:W53 W95:W1048576">
    <cfRule type="expression" dxfId="74" priority="87">
      <formula>$W1&lt;=2</formula>
    </cfRule>
  </conditionalFormatting>
  <conditionalFormatting sqref="Z1:Z53 Z95:Z1048576">
    <cfRule type="expression" dxfId="73" priority="86">
      <formula>$Z1&lt;=2</formula>
    </cfRule>
  </conditionalFormatting>
  <conditionalFormatting sqref="AA1:AA53 AA95:AA1048576">
    <cfRule type="expression" dxfId="72" priority="85">
      <formula>$AA1=0</formula>
    </cfRule>
  </conditionalFormatting>
  <conditionalFormatting sqref="AC1:AC53 AC95:AC1048576">
    <cfRule type="expression" dxfId="71" priority="84">
      <formula>$AC1&lt;=2</formula>
    </cfRule>
  </conditionalFormatting>
  <conditionalFormatting sqref="AD1:AD53 AD95:AD1048576">
    <cfRule type="expression" dxfId="70" priority="83">
      <formula>$AD1&lt;=2</formula>
    </cfRule>
  </conditionalFormatting>
  <conditionalFormatting sqref="AE1:AE53 AE95:AE1048576">
    <cfRule type="expression" dxfId="69" priority="82">
      <formula>$AE1=1</formula>
    </cfRule>
  </conditionalFormatting>
  <conditionalFormatting sqref="I1:I2 I4:I53 I95:I1048576">
    <cfRule type="expression" dxfId="68" priority="81">
      <formula>AND($I1&gt;=3,$J1&gt;=36)</formula>
    </cfRule>
  </conditionalFormatting>
  <conditionalFormatting sqref="N1:N53 N95:N1048576">
    <cfRule type="expression" dxfId="67" priority="79">
      <formula>$N1&gt;9</formula>
    </cfRule>
  </conditionalFormatting>
  <conditionalFormatting sqref="W2">
    <cfRule type="expression" dxfId="66" priority="76">
      <formula>$V2&lt;=2</formula>
    </cfRule>
  </conditionalFormatting>
  <conditionalFormatting sqref="X2">
    <cfRule type="expression" dxfId="65" priority="73">
      <formula>$V2&lt;=2</formula>
    </cfRule>
  </conditionalFormatting>
  <conditionalFormatting sqref="AB1:AB53 AB95:AB1048576">
    <cfRule type="expression" dxfId="64" priority="71">
      <formula>$AB1&lt;=2</formula>
    </cfRule>
  </conditionalFormatting>
  <conditionalFormatting sqref="Y2">
    <cfRule type="expression" dxfId="63" priority="69">
      <formula>$V2&lt;=2</formula>
    </cfRule>
  </conditionalFormatting>
  <conditionalFormatting sqref="AG4">
    <cfRule type="cellIs" dxfId="62" priority="66" operator="equal">
      <formula>2</formula>
    </cfRule>
    <cfRule type="expression" dxfId="61" priority="67">
      <formula>$AC4&lt;=2</formula>
    </cfRule>
  </conditionalFormatting>
  <conditionalFormatting sqref="E54:E68 E70:E75">
    <cfRule type="expression" dxfId="60" priority="65">
      <formula>$J54&gt;=36</formula>
    </cfRule>
  </conditionalFormatting>
  <conditionalFormatting sqref="G54:G65 G67:G68 G70:G75">
    <cfRule type="expression" dxfId="59" priority="64">
      <formula>$G54&gt;=3</formula>
    </cfRule>
  </conditionalFormatting>
  <conditionalFormatting sqref="J54:J65 J67:J68 J70:J75">
    <cfRule type="expression" dxfId="58" priority="63">
      <formula>$J54&gt;=36</formula>
    </cfRule>
  </conditionalFormatting>
  <conditionalFormatting sqref="L54:L76">
    <cfRule type="expression" dxfId="57" priority="62">
      <formula>$L54&gt;10</formula>
    </cfRule>
  </conditionalFormatting>
  <conditionalFormatting sqref="O54:O76">
    <cfRule type="expression" dxfId="56" priority="61">
      <formula>$O54=0</formula>
    </cfRule>
  </conditionalFormatting>
  <conditionalFormatting sqref="P54:P76">
    <cfRule type="expression" dxfId="55" priority="60">
      <formula>$P54&lt;=5</formula>
    </cfRule>
  </conditionalFormatting>
  <conditionalFormatting sqref="Q54:Q76">
    <cfRule type="expression" dxfId="54" priority="59">
      <formula>$Q54&lt;=2</formula>
    </cfRule>
  </conditionalFormatting>
  <conditionalFormatting sqref="R54:R76">
    <cfRule type="expression" dxfId="53" priority="58">
      <formula>$R54&lt;=2</formula>
    </cfRule>
  </conditionalFormatting>
  <conditionalFormatting sqref="S54:S76">
    <cfRule type="expression" dxfId="52" priority="57">
      <formula>$S54&lt;=2</formula>
    </cfRule>
  </conditionalFormatting>
  <conditionalFormatting sqref="U54:U76">
    <cfRule type="expression" dxfId="51" priority="56">
      <formula>$U54=0</formula>
    </cfRule>
  </conditionalFormatting>
  <conditionalFormatting sqref="V54:V76">
    <cfRule type="expression" dxfId="50" priority="55">
      <formula>$V54&lt;=2</formula>
    </cfRule>
  </conditionalFormatting>
  <conditionalFormatting sqref="T54:T76">
    <cfRule type="expression" dxfId="49" priority="54">
      <formula>$T54=0</formula>
    </cfRule>
  </conditionalFormatting>
  <conditionalFormatting sqref="W54:W76">
    <cfRule type="expression" dxfId="48" priority="53">
      <formula>$W54&lt;=2</formula>
    </cfRule>
  </conditionalFormatting>
  <conditionalFormatting sqref="Z54:Z76">
    <cfRule type="expression" dxfId="47" priority="52">
      <formula>$Z54&lt;=2</formula>
    </cfRule>
  </conditionalFormatting>
  <conditionalFormatting sqref="AA54:AA76">
    <cfRule type="expression" dxfId="46" priority="51">
      <formula>$AA54=0</formula>
    </cfRule>
  </conditionalFormatting>
  <conditionalFormatting sqref="AC54:AC76">
    <cfRule type="expression" dxfId="45" priority="50">
      <formula>$AC54&lt;=2</formula>
    </cfRule>
  </conditionalFormatting>
  <conditionalFormatting sqref="AD54:AD76">
    <cfRule type="expression" dxfId="44" priority="49">
      <formula>$AD54&lt;=2</formula>
    </cfRule>
  </conditionalFormatting>
  <conditionalFormatting sqref="AE54:AE76">
    <cfRule type="expression" dxfId="43" priority="48">
      <formula>$AE54=1</formula>
    </cfRule>
  </conditionalFormatting>
  <conditionalFormatting sqref="I54:I65 I67:I68 I70:I75">
    <cfRule type="expression" dxfId="42" priority="47">
      <formula>AND($I54&gt;=3,$J54&gt;=36)</formula>
    </cfRule>
  </conditionalFormatting>
  <conditionalFormatting sqref="N54:N76">
    <cfRule type="expression" dxfId="41" priority="45">
      <formula>$N54&gt;9</formula>
    </cfRule>
  </conditionalFormatting>
  <conditionalFormatting sqref="AB54:AB76">
    <cfRule type="expression" dxfId="40" priority="43">
      <formula>$AB54&lt;=2</formula>
    </cfRule>
  </conditionalFormatting>
  <conditionalFormatting sqref="G66">
    <cfRule type="expression" dxfId="39" priority="41">
      <formula>$G66&gt;=3</formula>
    </cfRule>
  </conditionalFormatting>
  <conditionalFormatting sqref="J66">
    <cfRule type="expression" dxfId="38" priority="40">
      <formula>$J66&gt;=36</formula>
    </cfRule>
  </conditionalFormatting>
  <conditionalFormatting sqref="I66">
    <cfRule type="expression" dxfId="37" priority="39">
      <formula>AND($I66&gt;=3,$J66&gt;=36)</formula>
    </cfRule>
  </conditionalFormatting>
  <conditionalFormatting sqref="E69">
    <cfRule type="expression" dxfId="36" priority="38">
      <formula>$J69&gt;=36</formula>
    </cfRule>
  </conditionalFormatting>
  <conditionalFormatting sqref="G69">
    <cfRule type="expression" dxfId="35" priority="37">
      <formula>$G69&gt;=3</formula>
    </cfRule>
  </conditionalFormatting>
  <conditionalFormatting sqref="J69">
    <cfRule type="expression" dxfId="34" priority="36">
      <formula>$J69&gt;=36</formula>
    </cfRule>
  </conditionalFormatting>
  <conditionalFormatting sqref="I69">
    <cfRule type="expression" dxfId="33" priority="35">
      <formula>AND($I69&gt;=3,$J69&gt;=36)</formula>
    </cfRule>
  </conditionalFormatting>
  <conditionalFormatting sqref="E76">
    <cfRule type="expression" dxfId="32" priority="34">
      <formula>$J76&gt;=36</formula>
    </cfRule>
  </conditionalFormatting>
  <conditionalFormatting sqref="G76">
    <cfRule type="expression" dxfId="31" priority="33">
      <formula>$G76&gt;=3</formula>
    </cfRule>
  </conditionalFormatting>
  <conditionalFormatting sqref="J76">
    <cfRule type="expression" dxfId="30" priority="32">
      <formula>$J76&gt;=36</formula>
    </cfRule>
  </conditionalFormatting>
  <conditionalFormatting sqref="I76">
    <cfRule type="expression" dxfId="29" priority="31">
      <formula>AND($I76&gt;=3,$J76&gt;=36)</formula>
    </cfRule>
  </conditionalFormatting>
  <conditionalFormatting sqref="E77:E85 E87:E94">
    <cfRule type="expression" dxfId="28" priority="30">
      <formula>$J77&gt;=36</formula>
    </cfRule>
  </conditionalFormatting>
  <conditionalFormatting sqref="G77:G85 G87:G94">
    <cfRule type="expression" dxfId="27" priority="29">
      <formula>$G77&gt;=3</formula>
    </cfRule>
  </conditionalFormatting>
  <conditionalFormatting sqref="J77:J85 J87:J94">
    <cfRule type="expression" dxfId="26" priority="28">
      <formula>$J77&gt;=36</formula>
    </cfRule>
  </conditionalFormatting>
  <conditionalFormatting sqref="L77:L85 L87:L94">
    <cfRule type="expression" dxfId="25" priority="27">
      <formula>$L77&gt;10</formula>
    </cfRule>
  </conditionalFormatting>
  <conditionalFormatting sqref="O77:O94">
    <cfRule type="expression" dxfId="24" priority="26">
      <formula>$O77=0</formula>
    </cfRule>
  </conditionalFormatting>
  <conditionalFormatting sqref="P77:P94">
    <cfRule type="expression" dxfId="23" priority="25">
      <formula>$P77&lt;=5</formula>
    </cfRule>
  </conditionalFormatting>
  <conditionalFormatting sqref="Q77:Q94">
    <cfRule type="expression" dxfId="22" priority="24">
      <formula>$Q77&lt;=2</formula>
    </cfRule>
  </conditionalFormatting>
  <conditionalFormatting sqref="R77:R94">
    <cfRule type="expression" dxfId="21" priority="23">
      <formula>$R77&lt;=2</formula>
    </cfRule>
  </conditionalFormatting>
  <conditionalFormatting sqref="S77:S94">
    <cfRule type="expression" dxfId="20" priority="22">
      <formula>$S77&lt;=2</formula>
    </cfRule>
  </conditionalFormatting>
  <conditionalFormatting sqref="U77:U94">
    <cfRule type="expression" dxfId="19" priority="21">
      <formula>$U77=0</formula>
    </cfRule>
  </conditionalFormatting>
  <conditionalFormatting sqref="V77:V94">
    <cfRule type="expression" dxfId="18" priority="20">
      <formula>$V77&lt;=2</formula>
    </cfRule>
  </conditionalFormatting>
  <conditionalFormatting sqref="T77:T94">
    <cfRule type="expression" dxfId="17" priority="19">
      <formula>$T77=0</formula>
    </cfRule>
  </conditionalFormatting>
  <conditionalFormatting sqref="W77:W94">
    <cfRule type="expression" dxfId="16" priority="18">
      <formula>$W77&lt;=2</formula>
    </cfRule>
  </conditionalFormatting>
  <conditionalFormatting sqref="Z77:Z94">
    <cfRule type="expression" dxfId="15" priority="17">
      <formula>$Z77&lt;=2</formula>
    </cfRule>
  </conditionalFormatting>
  <conditionalFormatting sqref="AA77:AA94">
    <cfRule type="expression" dxfId="14" priority="16">
      <formula>$AA77=0</formula>
    </cfRule>
  </conditionalFormatting>
  <conditionalFormatting sqref="AC77:AC94">
    <cfRule type="expression" dxfId="13" priority="15">
      <formula>$AC77&lt;=2</formula>
    </cfRule>
  </conditionalFormatting>
  <conditionalFormatting sqref="AD77:AD94">
    <cfRule type="expression" dxfId="12" priority="14">
      <formula>$AD77&lt;=2</formula>
    </cfRule>
  </conditionalFormatting>
  <conditionalFormatting sqref="AE77:AE94">
    <cfRule type="expression" dxfId="11" priority="13">
      <formula>$AE77=1</formula>
    </cfRule>
  </conditionalFormatting>
  <conditionalFormatting sqref="I77:I85 I87:I94">
    <cfRule type="expression" dxfId="10" priority="12">
      <formula>AND($I77&gt;=3,$J77&gt;=36)</formula>
    </cfRule>
  </conditionalFormatting>
  <conditionalFormatting sqref="N77:N94">
    <cfRule type="expression" dxfId="9" priority="10">
      <formula>$N77&gt;9</formula>
    </cfRule>
  </conditionalFormatting>
  <conditionalFormatting sqref="AB77:AB94">
    <cfRule type="expression" dxfId="8" priority="8">
      <formula>$AB77&lt;=2</formula>
    </cfRule>
  </conditionalFormatting>
  <conditionalFormatting sqref="E86">
    <cfRule type="expression" dxfId="7" priority="6">
      <formula>$J86&gt;=36</formula>
    </cfRule>
  </conditionalFormatting>
  <conditionalFormatting sqref="G86">
    <cfRule type="expression" dxfId="6" priority="5">
      <formula>$G86&gt;=3</formula>
    </cfRule>
  </conditionalFormatting>
  <conditionalFormatting sqref="J86">
    <cfRule type="expression" dxfId="5" priority="4">
      <formula>$J86&gt;=36</formula>
    </cfRule>
  </conditionalFormatting>
  <conditionalFormatting sqref="L86">
    <cfRule type="expression" dxfId="4" priority="3">
      <formula>$L86&gt;10</formula>
    </cfRule>
  </conditionalFormatting>
  <conditionalFormatting sqref="I86">
    <cfRule type="expression" dxfId="3" priority="2">
      <formula>AND($I86&gt;=3,$J86&gt;=36)</formula>
    </cfRule>
  </conditionalFormatting>
  <conditionalFormatting sqref="M1:M1048576">
    <cfRule type="expression" dxfId="2" priority="118">
      <formula>AND($M1&lt;&gt;"Private",$N1&gt;9)</formula>
    </cfRule>
  </conditionalFormatting>
  <conditionalFormatting sqref="X1 X3:X1048576">
    <cfRule type="expression" dxfId="1" priority="132">
      <formula>AND($X1=0,$N1&gt;9)</formula>
    </cfRule>
  </conditionalFormatting>
  <conditionalFormatting sqref="Y1 Y3:Y1048576">
    <cfRule type="expression" dxfId="0" priority="138">
      <formula>AND($Y1=0,$H1&gt;=3,$I1&gt;=3)</formula>
    </cfRule>
  </conditionalFormatting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0E9A3DE4DC27A4493EFFD35F96D80B3" ma:contentTypeVersion="12" ma:contentTypeDescription="Create a new document." ma:contentTypeScope="" ma:versionID="a01e022df595c80b8c601e47dfdd5d70">
  <xsd:schema xmlns:xsd="http://www.w3.org/2001/XMLSchema" xmlns:xs="http://www.w3.org/2001/XMLSchema" xmlns:p="http://schemas.microsoft.com/office/2006/metadata/properties" xmlns:ns2="90612153-eefc-423c-8cde-8ba7af6d51bf" xmlns:ns3="0bc25773-f3f3-4718-a709-72e75f703436" targetNamespace="http://schemas.microsoft.com/office/2006/metadata/properties" ma:root="true" ma:fieldsID="d0aa6b4b7212b0dd844775fb46cb8a49" ns2:_="" ns3:_="">
    <xsd:import namespace="90612153-eefc-423c-8cde-8ba7af6d51bf"/>
    <xsd:import namespace="0bc25773-f3f3-4718-a709-72e75f70343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EventHashCode" minOccurs="0"/>
                <xsd:element ref="ns2:MediaServiceGenerationTime" minOccurs="0"/>
                <xsd:element ref="ns2:MediaServiceAutoTags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0612153-eefc-423c-8cde-8ba7af6d51b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bc25773-f3f3-4718-a709-72e75f703436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929A7F7-33C6-43FA-992B-915D07FB4F6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0612153-eefc-423c-8cde-8ba7af6d51bf"/>
    <ds:schemaRef ds:uri="0bc25773-f3f3-4718-a709-72e75f70343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0943910-8054-4982-AA9B-8757B123D7B8}">
  <ds:schemaRefs>
    <ds:schemaRef ds:uri="http://schemas.microsoft.com/office/infopath/2007/PartnerControls"/>
    <ds:schemaRef ds:uri="http://schemas.microsoft.com/office/2006/documentManagement/types"/>
    <ds:schemaRef ds:uri="http://purl.org/dc/terms/"/>
    <ds:schemaRef ds:uri="90612153-eefc-423c-8cde-8ba7af6d51bf"/>
    <ds:schemaRef ds:uri="http://purl.org/dc/dcmitype/"/>
    <ds:schemaRef ds:uri="http://schemas.microsoft.com/office/2006/metadata/properties"/>
    <ds:schemaRef ds:uri="http://www.w3.org/XML/1998/namespace"/>
    <ds:schemaRef ds:uri="http://schemas.openxmlformats.org/package/2006/metadata/core-properties"/>
    <ds:schemaRef ds:uri="0bc25773-f3f3-4718-a709-72e75f703436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2B6E9DD0-9FD4-4408-BD47-7D36B8922C7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Final Questionare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Kundu, Suman A.</dc:creator>
  <cp:lastModifiedBy>Chandwani, Vijay K.</cp:lastModifiedBy>
  <dcterms:created xsi:type="dcterms:W3CDTF">2021-03-05T10:12:33Z</dcterms:created>
  <dcterms:modified xsi:type="dcterms:W3CDTF">2021-03-31T17:17:01Z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0x01010000E9A3DE4DC27A4493EFFD35F96D80B3</vt:lpwstr>
  </property>
</Properties>
</file>